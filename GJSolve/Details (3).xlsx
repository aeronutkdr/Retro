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90" windowWidth="20115" windowHeight="8520" activeTab="1"/>
  </bookViews>
  <sheets>
    <sheet name="Details (3)" sheetId="1" r:id="rId1"/>
    <sheet name="Sheet1" sheetId="2" r:id="rId2"/>
  </sheets>
  <calcPr calcId="0"/>
</workbook>
</file>

<file path=xl/calcChain.xml><?xml version="1.0" encoding="utf-8"?>
<calcChain xmlns="http://schemas.openxmlformats.org/spreadsheetml/2006/main">
  <c r="AS8" i="2" l="1"/>
  <c r="AK9" i="2"/>
  <c r="AT8" i="2"/>
  <c r="AT7" i="2"/>
  <c r="AT6" i="2"/>
  <c r="AT5" i="2"/>
  <c r="AT4" i="2"/>
  <c r="AT3" i="2"/>
  <c r="AT2" i="2"/>
  <c r="AT1" i="2"/>
  <c r="AT9" i="2"/>
  <c r="AK10" i="2"/>
  <c r="AU9" i="2"/>
  <c r="AU8" i="2"/>
  <c r="AU7" i="2"/>
  <c r="AU6" i="2"/>
  <c r="AU5" i="2"/>
  <c r="AU4" i="2"/>
  <c r="AU3" i="2"/>
  <c r="AU2" i="2"/>
  <c r="AU1" i="2"/>
  <c r="AU10" i="2"/>
  <c r="AK11" i="2"/>
  <c r="AV10" i="2"/>
  <c r="AV9" i="2"/>
  <c r="AV8" i="2"/>
  <c r="AV7" i="2"/>
  <c r="AV6" i="2"/>
  <c r="AV5" i="2"/>
  <c r="AV4" i="2"/>
  <c r="AV3" i="2"/>
  <c r="AV2" i="2"/>
  <c r="AV1" i="2"/>
  <c r="AV11" i="2"/>
  <c r="AK12" i="2"/>
  <c r="AW11" i="2"/>
  <c r="AW10" i="2"/>
  <c r="AW9" i="2"/>
  <c r="AW8" i="2"/>
  <c r="AW7" i="2"/>
  <c r="AW6" i="2"/>
  <c r="AW5" i="2"/>
  <c r="AW4" i="2"/>
  <c r="AW3" i="2"/>
  <c r="AW2" i="2"/>
  <c r="AW1" i="2"/>
  <c r="AW12" i="2"/>
  <c r="AK13" i="2"/>
  <c r="AX12" i="2"/>
  <c r="AX11" i="2"/>
  <c r="AX10" i="2"/>
  <c r="AX9" i="2"/>
  <c r="AX8" i="2"/>
  <c r="AX7" i="2"/>
  <c r="AX6" i="2"/>
  <c r="AX5" i="2"/>
  <c r="AX4" i="2"/>
  <c r="AX3" i="2"/>
  <c r="AX2" i="2"/>
  <c r="AX1" i="2"/>
  <c r="AX13" i="2"/>
  <c r="AK14" i="2"/>
  <c r="AY13" i="2"/>
  <c r="AY12" i="2"/>
  <c r="AY11" i="2"/>
  <c r="AY10" i="2"/>
  <c r="AY9" i="2"/>
  <c r="AY8" i="2"/>
  <c r="AY7" i="2"/>
  <c r="AY6" i="2"/>
  <c r="AY5" i="2"/>
  <c r="AY4" i="2"/>
  <c r="AY3" i="2"/>
  <c r="AY2" i="2"/>
  <c r="AY1" i="2"/>
  <c r="AY14" i="2"/>
  <c r="AZ15" i="2"/>
  <c r="AK15" i="2"/>
  <c r="AZ14" i="2"/>
  <c r="AZ13" i="2"/>
  <c r="AZ12" i="2"/>
  <c r="AZ11" i="2"/>
  <c r="AZ10" i="2"/>
  <c r="AZ9" i="2"/>
  <c r="AZ8" i="2"/>
  <c r="AZ7" i="2"/>
  <c r="AZ6" i="2"/>
  <c r="AZ5" i="2"/>
  <c r="AZ4" i="2"/>
  <c r="AZ3" i="2"/>
  <c r="AZ2" i="2"/>
  <c r="AZ1" i="2"/>
  <c r="AK16" i="2"/>
  <c r="AJ16" i="2"/>
  <c r="AI16" i="2"/>
  <c r="AH16" i="2"/>
  <c r="AG16" i="2"/>
  <c r="AF16" i="2"/>
  <c r="AE16" i="2"/>
  <c r="AD16" i="2"/>
  <c r="AC16" i="2"/>
  <c r="AB16" i="2"/>
  <c r="AA16" i="2"/>
  <c r="Z16" i="2"/>
  <c r="Y16" i="2"/>
  <c r="X16" i="2"/>
  <c r="W16" i="2"/>
  <c r="V16" i="2"/>
  <c r="U16" i="2"/>
  <c r="AJ15" i="2"/>
  <c r="AI15" i="2"/>
  <c r="AH15" i="2"/>
  <c r="AG15" i="2"/>
  <c r="AF15" i="2"/>
  <c r="AE15" i="2"/>
  <c r="AD15" i="2"/>
  <c r="AC15" i="2"/>
  <c r="AB15" i="2"/>
  <c r="AA15" i="2"/>
  <c r="Z15" i="2"/>
  <c r="Y15" i="2"/>
  <c r="X15" i="2"/>
  <c r="W15" i="2"/>
  <c r="V15" i="2"/>
  <c r="U15" i="2"/>
  <c r="AJ14" i="2"/>
  <c r="AI14" i="2"/>
  <c r="AH14" i="2"/>
  <c r="AG14" i="2"/>
  <c r="AF14" i="2"/>
  <c r="AE14" i="2"/>
  <c r="AD14" i="2"/>
  <c r="AC14" i="2"/>
  <c r="AB14" i="2"/>
  <c r="AA14" i="2"/>
  <c r="Z14" i="2"/>
  <c r="Y14" i="2"/>
  <c r="X14" i="2"/>
  <c r="W14" i="2"/>
  <c r="V14" i="2"/>
  <c r="U14" i="2"/>
  <c r="AJ13" i="2"/>
  <c r="AI13" i="2"/>
  <c r="AH13" i="2"/>
  <c r="AG13" i="2"/>
  <c r="AF13" i="2"/>
  <c r="AE13" i="2"/>
  <c r="AD13" i="2"/>
  <c r="AC13" i="2"/>
  <c r="AB13" i="2"/>
  <c r="AA13" i="2"/>
  <c r="Z13" i="2"/>
  <c r="Y13" i="2"/>
  <c r="X13" i="2"/>
  <c r="W13" i="2"/>
  <c r="V13" i="2"/>
  <c r="U13" i="2"/>
  <c r="AJ12" i="2"/>
  <c r="AI12" i="2"/>
  <c r="AH12" i="2"/>
  <c r="AG12" i="2"/>
  <c r="AF12" i="2"/>
  <c r="AE12" i="2"/>
  <c r="AD12" i="2"/>
  <c r="AC12" i="2"/>
  <c r="AB12" i="2"/>
  <c r="AA12" i="2"/>
  <c r="Z12" i="2"/>
  <c r="Y12" i="2"/>
  <c r="X12" i="2"/>
  <c r="W12" i="2"/>
  <c r="V12" i="2"/>
  <c r="U12" i="2"/>
  <c r="AJ11" i="2"/>
  <c r="AI11" i="2"/>
  <c r="AH11" i="2"/>
  <c r="AG11" i="2"/>
  <c r="AF11" i="2"/>
  <c r="AE11" i="2"/>
  <c r="AD11" i="2"/>
  <c r="AC11" i="2"/>
  <c r="AB11" i="2"/>
  <c r="AA11" i="2"/>
  <c r="Z11" i="2"/>
  <c r="Y11" i="2"/>
  <c r="X11" i="2"/>
  <c r="W11" i="2"/>
  <c r="V11" i="2"/>
  <c r="U11" i="2"/>
  <c r="AJ10" i="2"/>
  <c r="AI10" i="2"/>
  <c r="AH10" i="2"/>
  <c r="AG10" i="2"/>
  <c r="AF10" i="2"/>
  <c r="AE10" i="2"/>
  <c r="AD10" i="2"/>
  <c r="AC10" i="2"/>
  <c r="AB10" i="2"/>
  <c r="AA10" i="2"/>
  <c r="Z10" i="2"/>
  <c r="Y10" i="2"/>
  <c r="X10" i="2"/>
  <c r="W10" i="2"/>
  <c r="V10" i="2"/>
  <c r="U10" i="2"/>
  <c r="AJ9" i="2"/>
  <c r="AI9" i="2"/>
  <c r="AH9" i="2"/>
  <c r="AG9" i="2"/>
  <c r="AF9" i="2"/>
  <c r="AE9" i="2"/>
  <c r="AD9" i="2"/>
  <c r="AC9" i="2"/>
  <c r="AB9" i="2"/>
  <c r="AA9" i="2"/>
  <c r="Z9" i="2"/>
  <c r="Y9" i="2"/>
  <c r="X9" i="2"/>
  <c r="W9" i="2"/>
  <c r="V9" i="2"/>
  <c r="U9" i="2"/>
  <c r="AJ8" i="2"/>
  <c r="AI8" i="2"/>
  <c r="AH8" i="2"/>
  <c r="AG8" i="2"/>
  <c r="AF8" i="2"/>
  <c r="AE8" i="2"/>
  <c r="AD8" i="2"/>
  <c r="AC8" i="2"/>
  <c r="AB8" i="2"/>
  <c r="AA8" i="2"/>
  <c r="Z8" i="2"/>
  <c r="Y8" i="2"/>
  <c r="X8" i="2"/>
  <c r="W8" i="2"/>
  <c r="V8" i="2"/>
  <c r="U8" i="2"/>
  <c r="AJ7" i="2"/>
  <c r="AI7" i="2"/>
  <c r="AH7" i="2"/>
  <c r="AG7" i="2"/>
  <c r="AF7" i="2"/>
  <c r="AE7" i="2"/>
  <c r="AD7" i="2"/>
  <c r="AC7" i="2"/>
  <c r="AB7" i="2"/>
  <c r="AA7" i="2"/>
  <c r="Z7" i="2"/>
  <c r="Y7" i="2"/>
  <c r="X7" i="2"/>
  <c r="W7" i="2"/>
  <c r="V7" i="2"/>
  <c r="U7" i="2"/>
  <c r="AJ6" i="2"/>
  <c r="AI6" i="2"/>
  <c r="AH6" i="2"/>
  <c r="AG6" i="2"/>
  <c r="AF6" i="2"/>
  <c r="AE6" i="2"/>
  <c r="AD6" i="2"/>
  <c r="AC6" i="2"/>
  <c r="AB6" i="2"/>
  <c r="AA6" i="2"/>
  <c r="Z6" i="2"/>
  <c r="Y6" i="2"/>
  <c r="X6" i="2"/>
  <c r="W6" i="2"/>
  <c r="V6" i="2"/>
  <c r="U6" i="2"/>
  <c r="AJ5" i="2"/>
  <c r="AI5" i="2"/>
  <c r="AH5" i="2"/>
  <c r="AG5" i="2"/>
  <c r="AF5" i="2"/>
  <c r="AE5" i="2"/>
  <c r="AD5" i="2"/>
  <c r="AC5" i="2"/>
  <c r="AB5" i="2"/>
  <c r="AA5" i="2"/>
  <c r="Z5" i="2"/>
  <c r="Y5" i="2"/>
  <c r="X5" i="2"/>
  <c r="W5" i="2"/>
  <c r="V5" i="2"/>
  <c r="U5" i="2"/>
  <c r="T16" i="2"/>
  <c r="T15" i="2"/>
  <c r="T14" i="2"/>
  <c r="T13" i="2"/>
  <c r="T12" i="2"/>
  <c r="T11" i="2"/>
  <c r="T10" i="2"/>
  <c r="T9" i="2"/>
  <c r="T8" i="2"/>
  <c r="T7" i="2"/>
  <c r="T6" i="2"/>
  <c r="T5" i="2"/>
  <c r="AJ4" i="2"/>
  <c r="AI4" i="2"/>
  <c r="AH4" i="2"/>
  <c r="AG4" i="2"/>
  <c r="AF4" i="2"/>
  <c r="AE4" i="2"/>
  <c r="AD4" i="2"/>
  <c r="AC4" i="2"/>
  <c r="AB4" i="2"/>
  <c r="AA4" i="2"/>
  <c r="Z4" i="2"/>
  <c r="Y4" i="2"/>
  <c r="X4" i="2"/>
  <c r="W4" i="2"/>
  <c r="V4" i="2"/>
  <c r="U4" i="2"/>
  <c r="T4" i="2"/>
  <c r="AJ3" i="2"/>
  <c r="AI3" i="2"/>
  <c r="AH3" i="2"/>
  <c r="AG3" i="2"/>
  <c r="AF3" i="2"/>
  <c r="AE3" i="2"/>
  <c r="AD3" i="2"/>
  <c r="AC3" i="2"/>
  <c r="AB3" i="2"/>
  <c r="AA3" i="2"/>
  <c r="Z3" i="2"/>
  <c r="Y3" i="2"/>
  <c r="X3" i="2"/>
  <c r="W3" i="2"/>
  <c r="V3" i="2"/>
  <c r="U3" i="2"/>
  <c r="T3" i="2"/>
  <c r="AJ2" i="2"/>
  <c r="AI2" i="2"/>
  <c r="AH2" i="2"/>
  <c r="AG2" i="2"/>
  <c r="AF2" i="2"/>
  <c r="AE2" i="2"/>
  <c r="AD2" i="2"/>
  <c r="AC2" i="2"/>
  <c r="AB2" i="2"/>
  <c r="AA2" i="2"/>
  <c r="Z2" i="2"/>
  <c r="Y2" i="2"/>
  <c r="X2" i="2"/>
  <c r="W2" i="2"/>
  <c r="V2" i="2"/>
  <c r="U2" i="2"/>
  <c r="T2" i="2"/>
  <c r="AJ1" i="2"/>
  <c r="AI1" i="2"/>
  <c r="AH1" i="2"/>
  <c r="AG1" i="2"/>
  <c r="AF1" i="2"/>
  <c r="AE1" i="2"/>
  <c r="AD1" i="2"/>
  <c r="AC1" i="2"/>
  <c r="AB1" i="2"/>
  <c r="AA1" i="2"/>
  <c r="Z1" i="2"/>
  <c r="Y1" i="2"/>
  <c r="X1" i="2"/>
  <c r="W1" i="2"/>
  <c r="V1" i="2"/>
  <c r="U1" i="2"/>
  <c r="T1" i="2"/>
  <c r="P151" i="2"/>
  <c r="R151" i="2"/>
  <c r="Q151" i="2"/>
  <c r="O148" i="2"/>
  <c r="R149" i="2"/>
  <c r="Q149" i="2"/>
  <c r="P149" i="2"/>
  <c r="O149" i="2"/>
  <c r="R148" i="2"/>
  <c r="Q148" i="2"/>
  <c r="P148" i="2"/>
  <c r="N144" i="2"/>
  <c r="R146" i="2"/>
  <c r="Q146" i="2"/>
  <c r="P146" i="2"/>
  <c r="O146" i="2"/>
  <c r="N146" i="2"/>
  <c r="R145" i="2"/>
  <c r="Q145" i="2"/>
  <c r="P145" i="2"/>
  <c r="O145" i="2"/>
  <c r="N145" i="2"/>
  <c r="R144" i="2"/>
  <c r="Q144" i="2"/>
  <c r="P144" i="2"/>
  <c r="O144" i="2"/>
  <c r="M139" i="2"/>
  <c r="R142" i="2"/>
  <c r="Q142" i="2"/>
  <c r="P142" i="2"/>
  <c r="O142" i="2"/>
  <c r="N142" i="2"/>
  <c r="M142" i="2"/>
  <c r="R141" i="2"/>
  <c r="Q141" i="2"/>
  <c r="P141" i="2"/>
  <c r="O141" i="2"/>
  <c r="N141" i="2"/>
  <c r="M141" i="2"/>
  <c r="R140" i="2"/>
  <c r="Q140" i="2"/>
  <c r="P140" i="2"/>
  <c r="O140" i="2"/>
  <c r="N140" i="2"/>
  <c r="M140" i="2"/>
  <c r="R139" i="2"/>
  <c r="Q139" i="2"/>
  <c r="P139" i="2"/>
  <c r="O139" i="2"/>
  <c r="N139" i="2"/>
  <c r="L133" i="2"/>
  <c r="R137" i="2"/>
  <c r="Q137" i="2"/>
  <c r="P137" i="2"/>
  <c r="O137" i="2"/>
  <c r="N137" i="2"/>
  <c r="M137" i="2"/>
  <c r="L137" i="2"/>
  <c r="R136" i="2"/>
  <c r="Q136" i="2"/>
  <c r="P136" i="2"/>
  <c r="O136" i="2"/>
  <c r="N136" i="2"/>
  <c r="M136" i="2"/>
  <c r="L136" i="2"/>
  <c r="R135" i="2"/>
  <c r="Q135" i="2"/>
  <c r="P135" i="2"/>
  <c r="O135" i="2"/>
  <c r="N135" i="2"/>
  <c r="M135" i="2"/>
  <c r="L135" i="2"/>
  <c r="R134" i="2"/>
  <c r="Q134" i="2"/>
  <c r="P134" i="2"/>
  <c r="O134" i="2"/>
  <c r="N134" i="2"/>
  <c r="M134" i="2"/>
  <c r="L134" i="2"/>
  <c r="R133" i="2"/>
  <c r="Q133" i="2"/>
  <c r="P133" i="2"/>
  <c r="O133" i="2"/>
  <c r="N133" i="2"/>
  <c r="M133" i="2"/>
  <c r="K126" i="2"/>
  <c r="R131" i="2"/>
  <c r="Q131" i="2"/>
  <c r="P131" i="2"/>
  <c r="O131" i="2"/>
  <c r="N131" i="2"/>
  <c r="M131" i="2"/>
  <c r="L131" i="2"/>
  <c r="K131" i="2"/>
  <c r="R130" i="2"/>
  <c r="Q130" i="2"/>
  <c r="P130" i="2"/>
  <c r="O130" i="2"/>
  <c r="N130" i="2"/>
  <c r="M130" i="2"/>
  <c r="L130" i="2"/>
  <c r="K130" i="2"/>
  <c r="R129" i="2"/>
  <c r="Q129" i="2"/>
  <c r="P129" i="2"/>
  <c r="O129" i="2"/>
  <c r="N129" i="2"/>
  <c r="M129" i="2"/>
  <c r="L129" i="2"/>
  <c r="K129" i="2"/>
  <c r="R128" i="2"/>
  <c r="Q128" i="2"/>
  <c r="P128" i="2"/>
  <c r="O128" i="2"/>
  <c r="N128" i="2"/>
  <c r="M128" i="2"/>
  <c r="L128" i="2"/>
  <c r="K128" i="2"/>
  <c r="R127" i="2"/>
  <c r="Q127" i="2"/>
  <c r="P127" i="2"/>
  <c r="O127" i="2"/>
  <c r="N127" i="2"/>
  <c r="M127" i="2"/>
  <c r="L127" i="2"/>
  <c r="K127" i="2"/>
  <c r="R126" i="2"/>
  <c r="Q126" i="2"/>
  <c r="P126" i="2"/>
  <c r="O126" i="2"/>
  <c r="N126" i="2"/>
  <c r="M126" i="2"/>
  <c r="L126" i="2"/>
  <c r="J118" i="2"/>
  <c r="R124" i="2"/>
  <c r="Q124" i="2"/>
  <c r="P124" i="2"/>
  <c r="O124" i="2"/>
  <c r="N124" i="2"/>
  <c r="M124" i="2"/>
  <c r="L124" i="2"/>
  <c r="K124" i="2"/>
  <c r="J124" i="2"/>
  <c r="R123" i="2"/>
  <c r="Q123" i="2"/>
  <c r="P123" i="2"/>
  <c r="O123" i="2"/>
  <c r="N123" i="2"/>
  <c r="M123" i="2"/>
  <c r="L123" i="2"/>
  <c r="K123" i="2"/>
  <c r="J123" i="2"/>
  <c r="R122" i="2"/>
  <c r="Q122" i="2"/>
  <c r="P122" i="2"/>
  <c r="O122" i="2"/>
  <c r="N122" i="2"/>
  <c r="M122" i="2"/>
  <c r="L122" i="2"/>
  <c r="K122" i="2"/>
  <c r="J122" i="2"/>
  <c r="R121" i="2"/>
  <c r="Q121" i="2"/>
  <c r="P121" i="2"/>
  <c r="O121" i="2"/>
  <c r="N121" i="2"/>
  <c r="M121" i="2"/>
  <c r="L121" i="2"/>
  <c r="K121" i="2"/>
  <c r="J121" i="2"/>
  <c r="R120" i="2"/>
  <c r="Q120" i="2"/>
  <c r="P120" i="2"/>
  <c r="O120" i="2"/>
  <c r="N120" i="2"/>
  <c r="M120" i="2"/>
  <c r="L120" i="2"/>
  <c r="K120" i="2"/>
  <c r="J120" i="2"/>
  <c r="R119" i="2"/>
  <c r="Q119" i="2"/>
  <c r="P119" i="2"/>
  <c r="O119" i="2"/>
  <c r="N119" i="2"/>
  <c r="M119" i="2"/>
  <c r="L119" i="2"/>
  <c r="K119" i="2"/>
  <c r="J119" i="2"/>
  <c r="R118" i="2"/>
  <c r="Q118" i="2"/>
  <c r="P118" i="2"/>
  <c r="O118" i="2"/>
  <c r="N118" i="2"/>
  <c r="M118" i="2"/>
  <c r="L118" i="2"/>
  <c r="K118" i="2"/>
  <c r="I109" i="2"/>
  <c r="R116" i="2"/>
  <c r="Q116" i="2"/>
  <c r="P116" i="2"/>
  <c r="O116" i="2"/>
  <c r="N116" i="2"/>
  <c r="M116" i="2"/>
  <c r="L116" i="2"/>
  <c r="K116" i="2"/>
  <c r="J116" i="2"/>
  <c r="I116" i="2"/>
  <c r="R115" i="2"/>
  <c r="Q115" i="2"/>
  <c r="P115" i="2"/>
  <c r="O115" i="2"/>
  <c r="N115" i="2"/>
  <c r="M115" i="2"/>
  <c r="L115" i="2"/>
  <c r="K115" i="2"/>
  <c r="J115" i="2"/>
  <c r="I115" i="2"/>
  <c r="R114" i="2"/>
  <c r="Q114" i="2"/>
  <c r="P114" i="2"/>
  <c r="O114" i="2"/>
  <c r="N114" i="2"/>
  <c r="M114" i="2"/>
  <c r="L114" i="2"/>
  <c r="K114" i="2"/>
  <c r="J114" i="2"/>
  <c r="I114" i="2"/>
  <c r="R113" i="2"/>
  <c r="Q113" i="2"/>
  <c r="P113" i="2"/>
  <c r="O113" i="2"/>
  <c r="N113" i="2"/>
  <c r="M113" i="2"/>
  <c r="L113" i="2"/>
  <c r="K113" i="2"/>
  <c r="J113" i="2"/>
  <c r="I113" i="2"/>
  <c r="R112" i="2"/>
  <c r="Q112" i="2"/>
  <c r="P112" i="2"/>
  <c r="O112" i="2"/>
  <c r="N112" i="2"/>
  <c r="M112" i="2"/>
  <c r="L112" i="2"/>
  <c r="K112" i="2"/>
  <c r="J112" i="2"/>
  <c r="I112" i="2"/>
  <c r="R111" i="2"/>
  <c r="Q111" i="2"/>
  <c r="P111" i="2"/>
  <c r="O111" i="2"/>
  <c r="N111" i="2"/>
  <c r="M111" i="2"/>
  <c r="L111" i="2"/>
  <c r="K111" i="2"/>
  <c r="J111" i="2"/>
  <c r="I111" i="2"/>
  <c r="R110" i="2"/>
  <c r="Q110" i="2"/>
  <c r="P110" i="2"/>
  <c r="O110" i="2"/>
  <c r="N110" i="2"/>
  <c r="M110" i="2"/>
  <c r="L110" i="2"/>
  <c r="K110" i="2"/>
  <c r="J110" i="2"/>
  <c r="I110" i="2"/>
  <c r="R109" i="2"/>
  <c r="Q109" i="2"/>
  <c r="P109" i="2"/>
  <c r="O109" i="2"/>
  <c r="N109" i="2"/>
  <c r="M109" i="2"/>
  <c r="L109" i="2"/>
  <c r="K109" i="2"/>
  <c r="J109" i="2"/>
  <c r="H99" i="2"/>
  <c r="R107" i="2"/>
  <c r="Q107" i="2"/>
  <c r="P107" i="2"/>
  <c r="O107" i="2"/>
  <c r="N107" i="2"/>
  <c r="M107" i="2"/>
  <c r="L107" i="2"/>
  <c r="K107" i="2"/>
  <c r="J107" i="2"/>
  <c r="I107" i="2"/>
  <c r="H107" i="2"/>
  <c r="R106" i="2"/>
  <c r="Q106" i="2"/>
  <c r="P106" i="2"/>
  <c r="O106" i="2"/>
  <c r="N106" i="2"/>
  <c r="M106" i="2"/>
  <c r="L106" i="2"/>
  <c r="K106" i="2"/>
  <c r="J106" i="2"/>
  <c r="I106" i="2"/>
  <c r="H106" i="2"/>
  <c r="R105" i="2"/>
  <c r="Q105" i="2"/>
  <c r="P105" i="2"/>
  <c r="O105" i="2"/>
  <c r="N105" i="2"/>
  <c r="M105" i="2"/>
  <c r="L105" i="2"/>
  <c r="K105" i="2"/>
  <c r="J105" i="2"/>
  <c r="I105" i="2"/>
  <c r="H105" i="2"/>
  <c r="R104" i="2"/>
  <c r="Q104" i="2"/>
  <c r="P104" i="2"/>
  <c r="O104" i="2"/>
  <c r="N104" i="2"/>
  <c r="M104" i="2"/>
  <c r="L104" i="2"/>
  <c r="K104" i="2"/>
  <c r="J104" i="2"/>
  <c r="I104" i="2"/>
  <c r="H104" i="2"/>
  <c r="R103" i="2"/>
  <c r="Q103" i="2"/>
  <c r="P103" i="2"/>
  <c r="O103" i="2"/>
  <c r="N103" i="2"/>
  <c r="M103" i="2"/>
  <c r="L103" i="2"/>
  <c r="K103" i="2"/>
  <c r="J103" i="2"/>
  <c r="I103" i="2"/>
  <c r="H103" i="2"/>
  <c r="R102" i="2"/>
  <c r="Q102" i="2"/>
  <c r="P102" i="2"/>
  <c r="O102" i="2"/>
  <c r="N102" i="2"/>
  <c r="M102" i="2"/>
  <c r="L102" i="2"/>
  <c r="K102" i="2"/>
  <c r="J102" i="2"/>
  <c r="I102" i="2"/>
  <c r="H102" i="2"/>
  <c r="R101" i="2"/>
  <c r="Q101" i="2"/>
  <c r="P101" i="2"/>
  <c r="O101" i="2"/>
  <c r="N101" i="2"/>
  <c r="M101" i="2"/>
  <c r="L101" i="2"/>
  <c r="K101" i="2"/>
  <c r="J101" i="2"/>
  <c r="I101" i="2"/>
  <c r="H101" i="2"/>
  <c r="R100" i="2"/>
  <c r="Q100" i="2"/>
  <c r="P100" i="2"/>
  <c r="O100" i="2"/>
  <c r="N100" i="2"/>
  <c r="M100" i="2"/>
  <c r="L100" i="2"/>
  <c r="K100" i="2"/>
  <c r="J100" i="2"/>
  <c r="I100" i="2"/>
  <c r="H100" i="2"/>
  <c r="R99" i="2"/>
  <c r="Q99" i="2"/>
  <c r="P99" i="2"/>
  <c r="O99" i="2"/>
  <c r="N99" i="2"/>
  <c r="M99" i="2"/>
  <c r="L99" i="2"/>
  <c r="K99" i="2"/>
  <c r="J99" i="2"/>
  <c r="I99" i="2"/>
  <c r="G88" i="2"/>
  <c r="R97" i="2"/>
  <c r="Q97" i="2"/>
  <c r="P97" i="2"/>
  <c r="O97" i="2"/>
  <c r="N97" i="2"/>
  <c r="M97" i="2"/>
  <c r="L97" i="2"/>
  <c r="K97" i="2"/>
  <c r="J97" i="2"/>
  <c r="I97" i="2"/>
  <c r="H97" i="2"/>
  <c r="G97" i="2"/>
  <c r="R96" i="2"/>
  <c r="Q96" i="2"/>
  <c r="P96" i="2"/>
  <c r="O96" i="2"/>
  <c r="N96" i="2"/>
  <c r="M96" i="2"/>
  <c r="L96" i="2"/>
  <c r="K96" i="2"/>
  <c r="J96" i="2"/>
  <c r="I96" i="2"/>
  <c r="H96" i="2"/>
  <c r="G96" i="2"/>
  <c r="R95" i="2"/>
  <c r="Q95" i="2"/>
  <c r="P95" i="2"/>
  <c r="O95" i="2"/>
  <c r="N95" i="2"/>
  <c r="M95" i="2"/>
  <c r="L95" i="2"/>
  <c r="K95" i="2"/>
  <c r="J95" i="2"/>
  <c r="I95" i="2"/>
  <c r="H95" i="2"/>
  <c r="G95" i="2"/>
  <c r="R94" i="2"/>
  <c r="Q94" i="2"/>
  <c r="P94" i="2"/>
  <c r="O94" i="2"/>
  <c r="N94" i="2"/>
  <c r="M94" i="2"/>
  <c r="L94" i="2"/>
  <c r="K94" i="2"/>
  <c r="J94" i="2"/>
  <c r="I94" i="2"/>
  <c r="H94" i="2"/>
  <c r="G94" i="2"/>
  <c r="R93" i="2"/>
  <c r="Q93" i="2"/>
  <c r="P93" i="2"/>
  <c r="O93" i="2"/>
  <c r="N93" i="2"/>
  <c r="M93" i="2"/>
  <c r="L93" i="2"/>
  <c r="K93" i="2"/>
  <c r="J93" i="2"/>
  <c r="I93" i="2"/>
  <c r="H93" i="2"/>
  <c r="G93" i="2"/>
  <c r="R92" i="2"/>
  <c r="Q92" i="2"/>
  <c r="P92" i="2"/>
  <c r="O92" i="2"/>
  <c r="N92" i="2"/>
  <c r="M92" i="2"/>
  <c r="L92" i="2"/>
  <c r="K92" i="2"/>
  <c r="J92" i="2"/>
  <c r="I92" i="2"/>
  <c r="H92" i="2"/>
  <c r="G92" i="2"/>
  <c r="R91" i="2"/>
  <c r="Q91" i="2"/>
  <c r="P91" i="2"/>
  <c r="O91" i="2"/>
  <c r="N91" i="2"/>
  <c r="M91" i="2"/>
  <c r="L91" i="2"/>
  <c r="K91" i="2"/>
  <c r="J91" i="2"/>
  <c r="I91" i="2"/>
  <c r="H91" i="2"/>
  <c r="G91" i="2"/>
  <c r="R90" i="2"/>
  <c r="Q90" i="2"/>
  <c r="P90" i="2"/>
  <c r="O90" i="2"/>
  <c r="N90" i="2"/>
  <c r="M90" i="2"/>
  <c r="L90" i="2"/>
  <c r="K90" i="2"/>
  <c r="J90" i="2"/>
  <c r="I90" i="2"/>
  <c r="H90" i="2"/>
  <c r="G90" i="2"/>
  <c r="R89" i="2"/>
  <c r="Q89" i="2"/>
  <c r="P89" i="2"/>
  <c r="O89" i="2"/>
  <c r="N89" i="2"/>
  <c r="M89" i="2"/>
  <c r="L89" i="2"/>
  <c r="K89" i="2"/>
  <c r="J89" i="2"/>
  <c r="I89" i="2"/>
  <c r="H89" i="2"/>
  <c r="G89" i="2"/>
  <c r="R88" i="2"/>
  <c r="Q88" i="2"/>
  <c r="P88" i="2"/>
  <c r="O88" i="2"/>
  <c r="N88" i="2"/>
  <c r="M88" i="2"/>
  <c r="L88" i="2"/>
  <c r="K88" i="2"/>
  <c r="J88" i="2"/>
  <c r="I88" i="2"/>
  <c r="H88" i="2"/>
  <c r="F76" i="2"/>
  <c r="R86" i="2"/>
  <c r="Q86" i="2"/>
  <c r="P86" i="2"/>
  <c r="O86" i="2"/>
  <c r="N86" i="2"/>
  <c r="M86" i="2"/>
  <c r="L86" i="2"/>
  <c r="K86" i="2"/>
  <c r="J86" i="2"/>
  <c r="I86" i="2"/>
  <c r="H86" i="2"/>
  <c r="G86" i="2"/>
  <c r="F86" i="2"/>
  <c r="R85" i="2"/>
  <c r="Q85" i="2"/>
  <c r="P85" i="2"/>
  <c r="O85" i="2"/>
  <c r="N85" i="2"/>
  <c r="M85" i="2"/>
  <c r="L85" i="2"/>
  <c r="K85" i="2"/>
  <c r="J85" i="2"/>
  <c r="I85" i="2"/>
  <c r="H85" i="2"/>
  <c r="G85" i="2"/>
  <c r="F85" i="2"/>
  <c r="R84" i="2"/>
  <c r="Q84" i="2"/>
  <c r="P84" i="2"/>
  <c r="O84" i="2"/>
  <c r="N84" i="2"/>
  <c r="M84" i="2"/>
  <c r="L84" i="2"/>
  <c r="K84" i="2"/>
  <c r="J84" i="2"/>
  <c r="I84" i="2"/>
  <c r="H84" i="2"/>
  <c r="G84" i="2"/>
  <c r="F84" i="2"/>
  <c r="R83" i="2"/>
  <c r="Q83" i="2"/>
  <c r="P83" i="2"/>
  <c r="O83" i="2"/>
  <c r="N83" i="2"/>
  <c r="M83" i="2"/>
  <c r="L83" i="2"/>
  <c r="K83" i="2"/>
  <c r="J83" i="2"/>
  <c r="I83" i="2"/>
  <c r="H83" i="2"/>
  <c r="G83" i="2"/>
  <c r="F83" i="2"/>
  <c r="R82" i="2"/>
  <c r="Q82" i="2"/>
  <c r="P82" i="2"/>
  <c r="O82" i="2"/>
  <c r="N82" i="2"/>
  <c r="M82" i="2"/>
  <c r="L82" i="2"/>
  <c r="K82" i="2"/>
  <c r="J82" i="2"/>
  <c r="I82" i="2"/>
  <c r="H82" i="2"/>
  <c r="G82" i="2"/>
  <c r="F82" i="2"/>
  <c r="R81" i="2"/>
  <c r="Q81" i="2"/>
  <c r="P81" i="2"/>
  <c r="O81" i="2"/>
  <c r="N81" i="2"/>
  <c r="M81" i="2"/>
  <c r="L81" i="2"/>
  <c r="K81" i="2"/>
  <c r="J81" i="2"/>
  <c r="I81" i="2"/>
  <c r="H81" i="2"/>
  <c r="G81" i="2"/>
  <c r="F81" i="2"/>
  <c r="R80" i="2"/>
  <c r="Q80" i="2"/>
  <c r="P80" i="2"/>
  <c r="O80" i="2"/>
  <c r="N80" i="2"/>
  <c r="M80" i="2"/>
  <c r="L80" i="2"/>
  <c r="K80" i="2"/>
  <c r="J80" i="2"/>
  <c r="I80" i="2"/>
  <c r="H80" i="2"/>
  <c r="G80" i="2"/>
  <c r="F80" i="2"/>
  <c r="R79" i="2"/>
  <c r="Q79" i="2"/>
  <c r="P79" i="2"/>
  <c r="O79" i="2"/>
  <c r="N79" i="2"/>
  <c r="M79" i="2"/>
  <c r="L79" i="2"/>
  <c r="K79" i="2"/>
  <c r="J79" i="2"/>
  <c r="I79" i="2"/>
  <c r="H79" i="2"/>
  <c r="G79" i="2"/>
  <c r="F79" i="2"/>
  <c r="R78" i="2"/>
  <c r="Q78" i="2"/>
  <c r="P78" i="2"/>
  <c r="O78" i="2"/>
  <c r="N78" i="2"/>
  <c r="M78" i="2"/>
  <c r="L78" i="2"/>
  <c r="K78" i="2"/>
  <c r="J78" i="2"/>
  <c r="I78" i="2"/>
  <c r="H78" i="2"/>
  <c r="G78" i="2"/>
  <c r="F78" i="2"/>
  <c r="R77" i="2"/>
  <c r="Q77" i="2"/>
  <c r="P77" i="2"/>
  <c r="O77" i="2"/>
  <c r="N77" i="2"/>
  <c r="M77" i="2"/>
  <c r="L77" i="2"/>
  <c r="K77" i="2"/>
  <c r="J77" i="2"/>
  <c r="I77" i="2"/>
  <c r="H77" i="2"/>
  <c r="G77" i="2"/>
  <c r="F77" i="2"/>
  <c r="R76" i="2"/>
  <c r="Q76" i="2"/>
  <c r="P76" i="2"/>
  <c r="O76" i="2"/>
  <c r="N76" i="2"/>
  <c r="M76" i="2"/>
  <c r="L76" i="2"/>
  <c r="K76" i="2"/>
  <c r="J76" i="2"/>
  <c r="I76" i="2"/>
  <c r="H76" i="2"/>
  <c r="G76" i="2"/>
  <c r="E63" i="2"/>
  <c r="R74" i="2"/>
  <c r="Q74" i="2"/>
  <c r="P74" i="2"/>
  <c r="O74" i="2"/>
  <c r="N74" i="2"/>
  <c r="M74" i="2"/>
  <c r="L74" i="2"/>
  <c r="K74" i="2"/>
  <c r="J74" i="2"/>
  <c r="I74" i="2"/>
  <c r="H74" i="2"/>
  <c r="G74" i="2"/>
  <c r="F74" i="2"/>
  <c r="E74" i="2"/>
  <c r="R73" i="2"/>
  <c r="Q73" i="2"/>
  <c r="P73" i="2"/>
  <c r="O73" i="2"/>
  <c r="N73" i="2"/>
  <c r="M73" i="2"/>
  <c r="L73" i="2"/>
  <c r="K73" i="2"/>
  <c r="J73" i="2"/>
  <c r="I73" i="2"/>
  <c r="H73" i="2"/>
  <c r="G73" i="2"/>
  <c r="F73" i="2"/>
  <c r="E73" i="2"/>
  <c r="R72" i="2"/>
  <c r="Q72" i="2"/>
  <c r="P72" i="2"/>
  <c r="O72" i="2"/>
  <c r="N72" i="2"/>
  <c r="M72" i="2"/>
  <c r="L72" i="2"/>
  <c r="K72" i="2"/>
  <c r="J72" i="2"/>
  <c r="I72" i="2"/>
  <c r="H72" i="2"/>
  <c r="G72" i="2"/>
  <c r="F72" i="2"/>
  <c r="E72" i="2"/>
  <c r="R71" i="2"/>
  <c r="Q71" i="2"/>
  <c r="P71" i="2"/>
  <c r="O71" i="2"/>
  <c r="N71" i="2"/>
  <c r="M71" i="2"/>
  <c r="L71" i="2"/>
  <c r="K71" i="2"/>
  <c r="J71" i="2"/>
  <c r="I71" i="2"/>
  <c r="H71" i="2"/>
  <c r="G71" i="2"/>
  <c r="F71" i="2"/>
  <c r="E71" i="2"/>
  <c r="R70" i="2"/>
  <c r="Q70" i="2"/>
  <c r="P70" i="2"/>
  <c r="O70" i="2"/>
  <c r="N70" i="2"/>
  <c r="M70" i="2"/>
  <c r="L70" i="2"/>
  <c r="K70" i="2"/>
  <c r="J70" i="2"/>
  <c r="I70" i="2"/>
  <c r="H70" i="2"/>
  <c r="G70" i="2"/>
  <c r="F70" i="2"/>
  <c r="E70" i="2"/>
  <c r="R69" i="2"/>
  <c r="Q69" i="2"/>
  <c r="P69" i="2"/>
  <c r="O69" i="2"/>
  <c r="N69" i="2"/>
  <c r="M69" i="2"/>
  <c r="L69" i="2"/>
  <c r="K69" i="2"/>
  <c r="J69" i="2"/>
  <c r="I69" i="2"/>
  <c r="H69" i="2"/>
  <c r="G69" i="2"/>
  <c r="F69" i="2"/>
  <c r="E69" i="2"/>
  <c r="R68" i="2"/>
  <c r="Q68" i="2"/>
  <c r="P68" i="2"/>
  <c r="O68" i="2"/>
  <c r="N68" i="2"/>
  <c r="M68" i="2"/>
  <c r="L68" i="2"/>
  <c r="K68" i="2"/>
  <c r="J68" i="2"/>
  <c r="I68" i="2"/>
  <c r="H68" i="2"/>
  <c r="G68" i="2"/>
  <c r="F68" i="2"/>
  <c r="E68" i="2"/>
  <c r="R67" i="2"/>
  <c r="Q67" i="2"/>
  <c r="P67" i="2"/>
  <c r="O67" i="2"/>
  <c r="N67" i="2"/>
  <c r="M67" i="2"/>
  <c r="L67" i="2"/>
  <c r="K67" i="2"/>
  <c r="J67" i="2"/>
  <c r="I67" i="2"/>
  <c r="H67" i="2"/>
  <c r="G67" i="2"/>
  <c r="F67" i="2"/>
  <c r="E67" i="2"/>
  <c r="R66" i="2"/>
  <c r="Q66" i="2"/>
  <c r="P66" i="2"/>
  <c r="O66" i="2"/>
  <c r="N66" i="2"/>
  <c r="M66" i="2"/>
  <c r="L66" i="2"/>
  <c r="K66" i="2"/>
  <c r="J66" i="2"/>
  <c r="I66" i="2"/>
  <c r="H66" i="2"/>
  <c r="G66" i="2"/>
  <c r="F66" i="2"/>
  <c r="E66" i="2"/>
  <c r="R65" i="2"/>
  <c r="Q65" i="2"/>
  <c r="P65" i="2"/>
  <c r="O65" i="2"/>
  <c r="N65" i="2"/>
  <c r="M65" i="2"/>
  <c r="L65" i="2"/>
  <c r="K65" i="2"/>
  <c r="J65" i="2"/>
  <c r="I65" i="2"/>
  <c r="H65" i="2"/>
  <c r="G65" i="2"/>
  <c r="F65" i="2"/>
  <c r="E65" i="2"/>
  <c r="R64" i="2"/>
  <c r="Q64" i="2"/>
  <c r="P64" i="2"/>
  <c r="O64" i="2"/>
  <c r="N64" i="2"/>
  <c r="M64" i="2"/>
  <c r="L64" i="2"/>
  <c r="K64" i="2"/>
  <c r="J64" i="2"/>
  <c r="I64" i="2"/>
  <c r="H64" i="2"/>
  <c r="G64" i="2"/>
  <c r="F64" i="2"/>
  <c r="E64" i="2"/>
  <c r="R63" i="2"/>
  <c r="Q63" i="2"/>
  <c r="P63" i="2"/>
  <c r="O63" i="2"/>
  <c r="N63" i="2"/>
  <c r="M63" i="2"/>
  <c r="L63" i="2"/>
  <c r="K63" i="2"/>
  <c r="J63" i="2"/>
  <c r="I63" i="2"/>
  <c r="H63" i="2"/>
  <c r="G63" i="2"/>
  <c r="F63" i="2"/>
  <c r="D49" i="2"/>
  <c r="R61" i="2"/>
  <c r="Q61" i="2"/>
  <c r="P61" i="2"/>
  <c r="O61" i="2"/>
  <c r="N61" i="2"/>
  <c r="M61" i="2"/>
  <c r="L61" i="2"/>
  <c r="K61" i="2"/>
  <c r="J61" i="2"/>
  <c r="I61" i="2"/>
  <c r="H61" i="2"/>
  <c r="G61" i="2"/>
  <c r="F61" i="2"/>
  <c r="E61" i="2"/>
  <c r="D61" i="2"/>
  <c r="R60" i="2"/>
  <c r="Q60" i="2"/>
  <c r="P60" i="2"/>
  <c r="O60" i="2"/>
  <c r="N60" i="2"/>
  <c r="M60" i="2"/>
  <c r="L60" i="2"/>
  <c r="K60" i="2"/>
  <c r="J60" i="2"/>
  <c r="I60" i="2"/>
  <c r="H60" i="2"/>
  <c r="G60" i="2"/>
  <c r="F60" i="2"/>
  <c r="E60" i="2"/>
  <c r="D60" i="2"/>
  <c r="R59" i="2"/>
  <c r="Q59" i="2"/>
  <c r="P59" i="2"/>
  <c r="O59" i="2"/>
  <c r="N59" i="2"/>
  <c r="M59" i="2"/>
  <c r="L59" i="2"/>
  <c r="K59" i="2"/>
  <c r="J59" i="2"/>
  <c r="I59" i="2"/>
  <c r="H59" i="2"/>
  <c r="G59" i="2"/>
  <c r="F59" i="2"/>
  <c r="E59" i="2"/>
  <c r="D59" i="2"/>
  <c r="R58" i="2"/>
  <c r="Q58" i="2"/>
  <c r="P58" i="2"/>
  <c r="O58" i="2"/>
  <c r="N58" i="2"/>
  <c r="M58" i="2"/>
  <c r="L58" i="2"/>
  <c r="K58" i="2"/>
  <c r="J58" i="2"/>
  <c r="I58" i="2"/>
  <c r="H58" i="2"/>
  <c r="G58" i="2"/>
  <c r="F58" i="2"/>
  <c r="E58" i="2"/>
  <c r="D58" i="2"/>
  <c r="R57" i="2"/>
  <c r="Q57" i="2"/>
  <c r="P57" i="2"/>
  <c r="O57" i="2"/>
  <c r="N57" i="2"/>
  <c r="M57" i="2"/>
  <c r="L57" i="2"/>
  <c r="K57" i="2"/>
  <c r="J57" i="2"/>
  <c r="I57" i="2"/>
  <c r="H57" i="2"/>
  <c r="G57" i="2"/>
  <c r="F57" i="2"/>
  <c r="E57" i="2"/>
  <c r="D57" i="2"/>
  <c r="R56" i="2"/>
  <c r="Q56" i="2"/>
  <c r="P56" i="2"/>
  <c r="O56" i="2"/>
  <c r="N56" i="2"/>
  <c r="M56" i="2"/>
  <c r="L56" i="2"/>
  <c r="K56" i="2"/>
  <c r="J56" i="2"/>
  <c r="I56" i="2"/>
  <c r="H56" i="2"/>
  <c r="G56" i="2"/>
  <c r="F56" i="2"/>
  <c r="E56" i="2"/>
  <c r="D56" i="2"/>
  <c r="R55" i="2"/>
  <c r="Q55" i="2"/>
  <c r="P55" i="2"/>
  <c r="O55" i="2"/>
  <c r="N55" i="2"/>
  <c r="M55" i="2"/>
  <c r="L55" i="2"/>
  <c r="K55" i="2"/>
  <c r="J55" i="2"/>
  <c r="I55" i="2"/>
  <c r="H55" i="2"/>
  <c r="G55" i="2"/>
  <c r="F55" i="2"/>
  <c r="E55" i="2"/>
  <c r="D55" i="2"/>
  <c r="R54" i="2"/>
  <c r="Q54" i="2"/>
  <c r="P54" i="2"/>
  <c r="O54" i="2"/>
  <c r="N54" i="2"/>
  <c r="M54" i="2"/>
  <c r="L54" i="2"/>
  <c r="K54" i="2"/>
  <c r="J54" i="2"/>
  <c r="I54" i="2"/>
  <c r="H54" i="2"/>
  <c r="G54" i="2"/>
  <c r="F54" i="2"/>
  <c r="E54" i="2"/>
  <c r="D54" i="2"/>
  <c r="R53" i="2"/>
  <c r="Q53" i="2"/>
  <c r="P53" i="2"/>
  <c r="O53" i="2"/>
  <c r="N53" i="2"/>
  <c r="M53" i="2"/>
  <c r="L53" i="2"/>
  <c r="K53" i="2"/>
  <c r="J53" i="2"/>
  <c r="I53" i="2"/>
  <c r="H53" i="2"/>
  <c r="G53" i="2"/>
  <c r="F53" i="2"/>
  <c r="E53" i="2"/>
  <c r="D53" i="2"/>
  <c r="R52" i="2"/>
  <c r="Q52" i="2"/>
  <c r="P52" i="2"/>
  <c r="O52" i="2"/>
  <c r="N52" i="2"/>
  <c r="M52" i="2"/>
  <c r="L52" i="2"/>
  <c r="K52" i="2"/>
  <c r="J52" i="2"/>
  <c r="I52" i="2"/>
  <c r="H52" i="2"/>
  <c r="G52" i="2"/>
  <c r="F52" i="2"/>
  <c r="E52" i="2"/>
  <c r="D52" i="2"/>
  <c r="R51" i="2"/>
  <c r="Q51" i="2"/>
  <c r="P51" i="2"/>
  <c r="O51" i="2"/>
  <c r="N51" i="2"/>
  <c r="M51" i="2"/>
  <c r="L51" i="2"/>
  <c r="K51" i="2"/>
  <c r="J51" i="2"/>
  <c r="I51" i="2"/>
  <c r="H51" i="2"/>
  <c r="G51" i="2"/>
  <c r="F51" i="2"/>
  <c r="E51" i="2"/>
  <c r="D51" i="2"/>
  <c r="R50" i="2"/>
  <c r="Q50" i="2"/>
  <c r="P50" i="2"/>
  <c r="O50" i="2"/>
  <c r="N50" i="2"/>
  <c r="M50" i="2"/>
  <c r="L50" i="2"/>
  <c r="K50" i="2"/>
  <c r="J50" i="2"/>
  <c r="I50" i="2"/>
  <c r="H50" i="2"/>
  <c r="G50" i="2"/>
  <c r="F50" i="2"/>
  <c r="E50" i="2"/>
  <c r="D50" i="2"/>
  <c r="R49" i="2"/>
  <c r="Q49" i="2"/>
  <c r="P49" i="2"/>
  <c r="O49" i="2"/>
  <c r="N49" i="2"/>
  <c r="M49" i="2"/>
  <c r="L49" i="2"/>
  <c r="K49" i="2"/>
  <c r="J49" i="2"/>
  <c r="I49" i="2"/>
  <c r="H49" i="2"/>
  <c r="G49" i="2"/>
  <c r="F49" i="2"/>
  <c r="E49" i="2"/>
  <c r="C34" i="2"/>
  <c r="R47" i="2"/>
  <c r="Q47" i="2"/>
  <c r="P47" i="2"/>
  <c r="O47" i="2"/>
  <c r="N47" i="2"/>
  <c r="M47" i="2"/>
  <c r="L47" i="2"/>
  <c r="K47" i="2"/>
  <c r="J47" i="2"/>
  <c r="I47" i="2"/>
  <c r="H47" i="2"/>
  <c r="G47" i="2"/>
  <c r="F47" i="2"/>
  <c r="E47" i="2"/>
  <c r="D47" i="2"/>
  <c r="C47" i="2"/>
  <c r="R46" i="2"/>
  <c r="Q46" i="2"/>
  <c r="P46" i="2"/>
  <c r="O46" i="2"/>
  <c r="N46" i="2"/>
  <c r="M46" i="2"/>
  <c r="L46" i="2"/>
  <c r="K46" i="2"/>
  <c r="J46" i="2"/>
  <c r="I46" i="2"/>
  <c r="H46" i="2"/>
  <c r="G46" i="2"/>
  <c r="F46" i="2"/>
  <c r="E46" i="2"/>
  <c r="D46" i="2"/>
  <c r="C46" i="2"/>
  <c r="R45" i="2"/>
  <c r="Q45" i="2"/>
  <c r="P45" i="2"/>
  <c r="O45" i="2"/>
  <c r="N45" i="2"/>
  <c r="M45" i="2"/>
  <c r="L45" i="2"/>
  <c r="K45" i="2"/>
  <c r="J45" i="2"/>
  <c r="I45" i="2"/>
  <c r="H45" i="2"/>
  <c r="G45" i="2"/>
  <c r="F45" i="2"/>
  <c r="E45" i="2"/>
  <c r="D45" i="2"/>
  <c r="C45" i="2"/>
  <c r="R44" i="2"/>
  <c r="Q44" i="2"/>
  <c r="P44" i="2"/>
  <c r="O44" i="2"/>
  <c r="N44" i="2"/>
  <c r="M44" i="2"/>
  <c r="L44" i="2"/>
  <c r="K44" i="2"/>
  <c r="J44" i="2"/>
  <c r="I44" i="2"/>
  <c r="H44" i="2"/>
  <c r="G44" i="2"/>
  <c r="F44" i="2"/>
  <c r="E44" i="2"/>
  <c r="D44" i="2"/>
  <c r="C44" i="2"/>
  <c r="R43" i="2"/>
  <c r="Q43" i="2"/>
  <c r="P43" i="2"/>
  <c r="O43" i="2"/>
  <c r="N43" i="2"/>
  <c r="M43" i="2"/>
  <c r="L43" i="2"/>
  <c r="K43" i="2"/>
  <c r="J43" i="2"/>
  <c r="I43" i="2"/>
  <c r="H43" i="2"/>
  <c r="G43" i="2"/>
  <c r="F43" i="2"/>
  <c r="E43" i="2"/>
  <c r="D43" i="2"/>
  <c r="C43" i="2"/>
  <c r="R42" i="2"/>
  <c r="Q42" i="2"/>
  <c r="P42" i="2"/>
  <c r="O42" i="2"/>
  <c r="N42" i="2"/>
  <c r="M42" i="2"/>
  <c r="L42" i="2"/>
  <c r="K42" i="2"/>
  <c r="J42" i="2"/>
  <c r="I42" i="2"/>
  <c r="H42" i="2"/>
  <c r="G42" i="2"/>
  <c r="F42" i="2"/>
  <c r="E42" i="2"/>
  <c r="D42" i="2"/>
  <c r="C42" i="2"/>
  <c r="R41" i="2"/>
  <c r="Q41" i="2"/>
  <c r="P41" i="2"/>
  <c r="O41" i="2"/>
  <c r="N41" i="2"/>
  <c r="M41" i="2"/>
  <c r="L41" i="2"/>
  <c r="K41" i="2"/>
  <c r="J41" i="2"/>
  <c r="I41" i="2"/>
  <c r="H41" i="2"/>
  <c r="G41" i="2"/>
  <c r="F41" i="2"/>
  <c r="E41" i="2"/>
  <c r="D41" i="2"/>
  <c r="C41" i="2"/>
  <c r="R40" i="2"/>
  <c r="Q40" i="2"/>
  <c r="P40" i="2"/>
  <c r="O40" i="2"/>
  <c r="N40" i="2"/>
  <c r="M40" i="2"/>
  <c r="L40" i="2"/>
  <c r="K40" i="2"/>
  <c r="J40" i="2"/>
  <c r="I40" i="2"/>
  <c r="H40" i="2"/>
  <c r="G40" i="2"/>
  <c r="F40" i="2"/>
  <c r="E40" i="2"/>
  <c r="D40" i="2"/>
  <c r="C40" i="2"/>
  <c r="R39" i="2"/>
  <c r="Q39" i="2"/>
  <c r="P39" i="2"/>
  <c r="O39" i="2"/>
  <c r="N39" i="2"/>
  <c r="M39" i="2"/>
  <c r="L39" i="2"/>
  <c r="K39" i="2"/>
  <c r="J39" i="2"/>
  <c r="I39" i="2"/>
  <c r="H39" i="2"/>
  <c r="G39" i="2"/>
  <c r="F39" i="2"/>
  <c r="E39" i="2"/>
  <c r="D39" i="2"/>
  <c r="C39" i="2"/>
  <c r="R38" i="2"/>
  <c r="Q38" i="2"/>
  <c r="P38" i="2"/>
  <c r="O38" i="2"/>
  <c r="N38" i="2"/>
  <c r="M38" i="2"/>
  <c r="L38" i="2"/>
  <c r="K38" i="2"/>
  <c r="J38" i="2"/>
  <c r="I38" i="2"/>
  <c r="H38" i="2"/>
  <c r="G38" i="2"/>
  <c r="F38" i="2"/>
  <c r="E38" i="2"/>
  <c r="D38" i="2"/>
  <c r="C38" i="2"/>
  <c r="R37" i="2"/>
  <c r="Q37" i="2"/>
  <c r="P37" i="2"/>
  <c r="O37" i="2"/>
  <c r="N37" i="2"/>
  <c r="M37" i="2"/>
  <c r="L37" i="2"/>
  <c r="K37" i="2"/>
  <c r="J37" i="2"/>
  <c r="I37" i="2"/>
  <c r="H37" i="2"/>
  <c r="G37" i="2"/>
  <c r="F37" i="2"/>
  <c r="E37" i="2"/>
  <c r="D37" i="2"/>
  <c r="C37" i="2"/>
  <c r="R36" i="2"/>
  <c r="Q36" i="2"/>
  <c r="P36" i="2"/>
  <c r="O36" i="2"/>
  <c r="N36" i="2"/>
  <c r="M36" i="2"/>
  <c r="L36" i="2"/>
  <c r="K36" i="2"/>
  <c r="J36" i="2"/>
  <c r="I36" i="2"/>
  <c r="H36" i="2"/>
  <c r="G36" i="2"/>
  <c r="F36" i="2"/>
  <c r="E36" i="2"/>
  <c r="D36" i="2"/>
  <c r="C36" i="2"/>
  <c r="R35" i="2"/>
  <c r="Q35" i="2"/>
  <c r="P35" i="2"/>
  <c r="O35" i="2"/>
  <c r="N35" i="2"/>
  <c r="M35" i="2"/>
  <c r="L35" i="2"/>
  <c r="K35" i="2"/>
  <c r="J35" i="2"/>
  <c r="I35" i="2"/>
  <c r="H35" i="2"/>
  <c r="G35" i="2"/>
  <c r="F35" i="2"/>
  <c r="E35" i="2"/>
  <c r="D35" i="2"/>
  <c r="C35" i="2"/>
  <c r="R34" i="2"/>
  <c r="Q34" i="2"/>
  <c r="P34" i="2"/>
  <c r="O34" i="2"/>
  <c r="N34" i="2"/>
  <c r="M34" i="2"/>
  <c r="L34" i="2"/>
  <c r="K34" i="2"/>
  <c r="J34" i="2"/>
  <c r="I34" i="2"/>
  <c r="H34" i="2"/>
  <c r="G34" i="2"/>
  <c r="F34" i="2"/>
  <c r="E34" i="2"/>
  <c r="D34" i="2"/>
  <c r="B18" i="2"/>
  <c r="R32" i="2"/>
  <c r="Q32" i="2"/>
  <c r="P32" i="2"/>
  <c r="O32" i="2"/>
  <c r="N32" i="2"/>
  <c r="M32" i="2"/>
  <c r="L32" i="2"/>
  <c r="K32" i="2"/>
  <c r="J32" i="2"/>
  <c r="I32" i="2"/>
  <c r="H32" i="2"/>
  <c r="G32" i="2"/>
  <c r="F32" i="2"/>
  <c r="E32" i="2"/>
  <c r="D32" i="2"/>
  <c r="C32" i="2"/>
  <c r="B32" i="2"/>
  <c r="R31" i="2"/>
  <c r="Q31" i="2"/>
  <c r="P31" i="2"/>
  <c r="O31" i="2"/>
  <c r="N31" i="2"/>
  <c r="M31" i="2"/>
  <c r="L31" i="2"/>
  <c r="K31" i="2"/>
  <c r="J31" i="2"/>
  <c r="I31" i="2"/>
  <c r="H31" i="2"/>
  <c r="G31" i="2"/>
  <c r="F31" i="2"/>
  <c r="E31" i="2"/>
  <c r="D31" i="2"/>
  <c r="C31" i="2"/>
  <c r="B31" i="2"/>
  <c r="R30" i="2"/>
  <c r="Q30" i="2"/>
  <c r="P30" i="2"/>
  <c r="O30" i="2"/>
  <c r="N30" i="2"/>
  <c r="M30" i="2"/>
  <c r="L30" i="2"/>
  <c r="K30" i="2"/>
  <c r="J30" i="2"/>
  <c r="I30" i="2"/>
  <c r="H30" i="2"/>
  <c r="G30" i="2"/>
  <c r="F30" i="2"/>
  <c r="E30" i="2"/>
  <c r="D30" i="2"/>
  <c r="C30" i="2"/>
  <c r="B30" i="2"/>
  <c r="R29" i="2"/>
  <c r="Q29" i="2"/>
  <c r="P29" i="2"/>
  <c r="O29" i="2"/>
  <c r="N29" i="2"/>
  <c r="M29" i="2"/>
  <c r="L29" i="2"/>
  <c r="K29" i="2"/>
  <c r="J29" i="2"/>
  <c r="I29" i="2"/>
  <c r="H29" i="2"/>
  <c r="G29" i="2"/>
  <c r="F29" i="2"/>
  <c r="E29" i="2"/>
  <c r="D29" i="2"/>
  <c r="C29" i="2"/>
  <c r="B29" i="2"/>
  <c r="R28" i="2"/>
  <c r="Q28" i="2"/>
  <c r="P28" i="2"/>
  <c r="O28" i="2"/>
  <c r="N28" i="2"/>
  <c r="M28" i="2"/>
  <c r="L28" i="2"/>
  <c r="K28" i="2"/>
  <c r="J28" i="2"/>
  <c r="I28" i="2"/>
  <c r="H28" i="2"/>
  <c r="G28" i="2"/>
  <c r="F28" i="2"/>
  <c r="E28" i="2"/>
  <c r="D28" i="2"/>
  <c r="C28" i="2"/>
  <c r="B28" i="2"/>
  <c r="R27" i="2"/>
  <c r="Q27" i="2"/>
  <c r="P27" i="2"/>
  <c r="O27" i="2"/>
  <c r="N27" i="2"/>
  <c r="M27" i="2"/>
  <c r="L27" i="2"/>
  <c r="K27" i="2"/>
  <c r="J27" i="2"/>
  <c r="I27" i="2"/>
  <c r="H27" i="2"/>
  <c r="G27" i="2"/>
  <c r="F27" i="2"/>
  <c r="E27" i="2"/>
  <c r="D27" i="2"/>
  <c r="C27" i="2"/>
  <c r="B27" i="2"/>
  <c r="R26" i="2"/>
  <c r="Q26" i="2"/>
  <c r="P26" i="2"/>
  <c r="O26" i="2"/>
  <c r="N26" i="2"/>
  <c r="M26" i="2"/>
  <c r="L26" i="2"/>
  <c r="K26" i="2"/>
  <c r="J26" i="2"/>
  <c r="I26" i="2"/>
  <c r="H26" i="2"/>
  <c r="G26" i="2"/>
  <c r="F26" i="2"/>
  <c r="E26" i="2"/>
  <c r="D26" i="2"/>
  <c r="C26" i="2"/>
  <c r="B26" i="2"/>
  <c r="R25" i="2"/>
  <c r="Q25" i="2"/>
  <c r="P25" i="2"/>
  <c r="O25" i="2"/>
  <c r="N25" i="2"/>
  <c r="M25" i="2"/>
  <c r="L25" i="2"/>
  <c r="K25" i="2"/>
  <c r="J25" i="2"/>
  <c r="I25" i="2"/>
  <c r="H25" i="2"/>
  <c r="G25" i="2"/>
  <c r="F25" i="2"/>
  <c r="E25" i="2"/>
  <c r="D25" i="2"/>
  <c r="C25" i="2"/>
  <c r="B25" i="2"/>
  <c r="R24" i="2"/>
  <c r="Q24" i="2"/>
  <c r="P24" i="2"/>
  <c r="O24" i="2"/>
  <c r="N24" i="2"/>
  <c r="M24" i="2"/>
  <c r="L24" i="2"/>
  <c r="K24" i="2"/>
  <c r="J24" i="2"/>
  <c r="I24" i="2"/>
  <c r="H24" i="2"/>
  <c r="G24" i="2"/>
  <c r="F24" i="2"/>
  <c r="E24" i="2"/>
  <c r="D24" i="2"/>
  <c r="C24" i="2"/>
  <c r="B24" i="2"/>
  <c r="R23" i="2"/>
  <c r="Q23" i="2"/>
  <c r="P23" i="2"/>
  <c r="O23" i="2"/>
  <c r="N23" i="2"/>
  <c r="M23" i="2"/>
  <c r="L23" i="2"/>
  <c r="K23" i="2"/>
  <c r="J23" i="2"/>
  <c r="I23" i="2"/>
  <c r="H23" i="2"/>
  <c r="G23" i="2"/>
  <c r="F23" i="2"/>
  <c r="E23" i="2"/>
  <c r="D23" i="2"/>
  <c r="C23" i="2"/>
  <c r="B23" i="2"/>
  <c r="R22" i="2"/>
  <c r="Q22" i="2"/>
  <c r="P22" i="2"/>
  <c r="O22" i="2"/>
  <c r="N22" i="2"/>
  <c r="M22" i="2"/>
  <c r="L22" i="2"/>
  <c r="K22" i="2"/>
  <c r="J22" i="2"/>
  <c r="I22" i="2"/>
  <c r="H22" i="2"/>
  <c r="G22" i="2"/>
  <c r="F22" i="2"/>
  <c r="E22" i="2"/>
  <c r="D22" i="2"/>
  <c r="C22" i="2"/>
  <c r="B22" i="2"/>
  <c r="R21" i="2"/>
  <c r="Q21" i="2"/>
  <c r="P21" i="2"/>
  <c r="O21" i="2"/>
  <c r="N21" i="2"/>
  <c r="M21" i="2"/>
  <c r="L21" i="2"/>
  <c r="K21" i="2"/>
  <c r="J21" i="2"/>
  <c r="I21" i="2"/>
  <c r="H21" i="2"/>
  <c r="G21" i="2"/>
  <c r="F21" i="2"/>
  <c r="E21" i="2"/>
  <c r="D21" i="2"/>
  <c r="C21" i="2"/>
  <c r="B21" i="2"/>
  <c r="R20" i="2"/>
  <c r="Q20" i="2"/>
  <c r="P20" i="2"/>
  <c r="O20" i="2"/>
  <c r="N20" i="2"/>
  <c r="M20" i="2"/>
  <c r="L20" i="2"/>
  <c r="K20" i="2"/>
  <c r="J20" i="2"/>
  <c r="I20" i="2"/>
  <c r="H20" i="2"/>
  <c r="G20" i="2"/>
  <c r="F20" i="2"/>
  <c r="E20" i="2"/>
  <c r="D20" i="2"/>
  <c r="C20" i="2"/>
  <c r="B20" i="2"/>
  <c r="R19" i="2"/>
  <c r="Q19" i="2"/>
  <c r="P19" i="2"/>
  <c r="O19" i="2"/>
  <c r="N19" i="2"/>
  <c r="M19" i="2"/>
  <c r="L19" i="2"/>
  <c r="K19" i="2"/>
  <c r="J19" i="2"/>
  <c r="I19" i="2"/>
  <c r="H19" i="2"/>
  <c r="G19" i="2"/>
  <c r="F19" i="2"/>
  <c r="E19" i="2"/>
  <c r="D19" i="2"/>
  <c r="C19" i="2"/>
  <c r="B19" i="2"/>
  <c r="R18" i="2"/>
  <c r="Q18" i="2"/>
  <c r="P18" i="2"/>
  <c r="O18" i="2"/>
  <c r="N18" i="2"/>
  <c r="M18" i="2"/>
  <c r="L18" i="2"/>
  <c r="K18" i="2"/>
  <c r="J18" i="2"/>
  <c r="I18" i="2"/>
  <c r="H18" i="2"/>
  <c r="G18" i="2"/>
  <c r="F18" i="2"/>
  <c r="E18" i="2"/>
  <c r="D18" i="2"/>
  <c r="C18" i="2"/>
  <c r="T63" i="1"/>
  <c r="S63" i="1"/>
  <c r="T62" i="1"/>
  <c r="S62" i="1"/>
  <c r="R62" i="1"/>
  <c r="T61" i="1"/>
  <c r="S61" i="1"/>
  <c r="R61" i="1"/>
  <c r="Q61" i="1"/>
  <c r="T60" i="1"/>
  <c r="S60" i="1"/>
  <c r="R60" i="1"/>
  <c r="Q60" i="1"/>
  <c r="P60" i="1"/>
  <c r="T59" i="1"/>
  <c r="S59" i="1"/>
  <c r="R59" i="1"/>
  <c r="Q59" i="1"/>
  <c r="P59" i="1"/>
  <c r="O59" i="1"/>
  <c r="T58" i="1"/>
  <c r="S58" i="1"/>
  <c r="R58" i="1"/>
  <c r="Q58" i="1"/>
  <c r="P58" i="1"/>
  <c r="O58" i="1"/>
  <c r="N58" i="1"/>
  <c r="T57" i="1"/>
  <c r="S57" i="1"/>
  <c r="R57" i="1"/>
  <c r="Q57" i="1"/>
  <c r="P57" i="1"/>
  <c r="O57" i="1"/>
  <c r="N57" i="1"/>
  <c r="M57" i="1"/>
  <c r="T56" i="1"/>
  <c r="S56" i="1"/>
  <c r="R56" i="1"/>
  <c r="Q56" i="1"/>
  <c r="P56" i="1"/>
  <c r="O56" i="1"/>
  <c r="N56" i="1"/>
  <c r="M56" i="1"/>
  <c r="L56" i="1"/>
  <c r="C22" i="1"/>
  <c r="J27" i="1"/>
  <c r="I27" i="1"/>
  <c r="H27" i="1"/>
  <c r="G27" i="1"/>
  <c r="F27" i="1"/>
  <c r="E27" i="1"/>
  <c r="D27" i="1"/>
  <c r="C27" i="1"/>
  <c r="B27" i="1"/>
  <c r="J26" i="1"/>
  <c r="I26" i="1"/>
  <c r="H26" i="1"/>
  <c r="G26" i="1"/>
  <c r="F26" i="1"/>
  <c r="E26" i="1"/>
  <c r="D26" i="1"/>
  <c r="C26" i="1"/>
  <c r="B26" i="1"/>
  <c r="J25" i="1"/>
  <c r="I25" i="1"/>
  <c r="H25" i="1"/>
  <c r="G25" i="1"/>
  <c r="F25" i="1"/>
  <c r="E25" i="1"/>
  <c r="D25" i="1"/>
  <c r="C25" i="1"/>
  <c r="B25" i="1"/>
  <c r="J24" i="1"/>
  <c r="I24" i="1"/>
  <c r="H24" i="1"/>
  <c r="G24" i="1"/>
  <c r="F24" i="1"/>
  <c r="E24" i="1"/>
  <c r="D24" i="1"/>
  <c r="C24" i="1"/>
  <c r="B24" i="1"/>
  <c r="J23" i="1"/>
  <c r="I23" i="1"/>
  <c r="H23" i="1"/>
  <c r="G23" i="1"/>
  <c r="F23" i="1"/>
  <c r="E23" i="1"/>
  <c r="D23" i="1"/>
  <c r="C23" i="1"/>
  <c r="B23" i="1"/>
  <c r="J22" i="1"/>
  <c r="I22" i="1"/>
  <c r="H22" i="1"/>
  <c r="G22" i="1"/>
  <c r="F22" i="1"/>
  <c r="E22" i="1"/>
  <c r="D22" i="1"/>
  <c r="B22" i="1"/>
  <c r="J21" i="1"/>
  <c r="I21" i="1"/>
  <c r="H21" i="1"/>
  <c r="G21" i="1"/>
  <c r="F21" i="1"/>
  <c r="E21" i="1"/>
  <c r="D21" i="1"/>
  <c r="C21" i="1"/>
  <c r="B21" i="1"/>
  <c r="E29" i="1" l="1"/>
  <c r="E33" i="1"/>
  <c r="E31" i="1"/>
  <c r="I31" i="1"/>
  <c r="D32" i="1"/>
  <c r="H32" i="1"/>
  <c r="E30" i="1"/>
  <c r="I30" i="1"/>
  <c r="D31" i="1"/>
  <c r="H31" i="1"/>
  <c r="C32" i="1"/>
  <c r="E34" i="1"/>
  <c r="I34" i="1"/>
  <c r="F29" i="1"/>
  <c r="J29" i="1"/>
  <c r="G32" i="1"/>
  <c r="F33" i="1"/>
  <c r="J33" i="1"/>
  <c r="E32" i="1"/>
  <c r="J32" i="1"/>
  <c r="F32" i="1"/>
  <c r="G29" i="1"/>
  <c r="F30" i="1"/>
  <c r="J30" i="1"/>
  <c r="C33" i="1"/>
  <c r="G33" i="1"/>
  <c r="F34" i="1"/>
  <c r="J34" i="1"/>
  <c r="H29" i="1"/>
  <c r="H30" i="1"/>
  <c r="H33" i="1"/>
  <c r="H34" i="1"/>
  <c r="C30" i="1"/>
  <c r="G30" i="1"/>
  <c r="F31" i="1"/>
  <c r="J31" i="1"/>
  <c r="C34" i="1"/>
  <c r="G34" i="1"/>
  <c r="C29" i="1"/>
  <c r="I29" i="1"/>
  <c r="I32" i="1"/>
  <c r="I33" i="1"/>
  <c r="C31" i="1"/>
  <c r="G31" i="1"/>
  <c r="D29" i="1"/>
  <c r="D30" i="1"/>
  <c r="D33" i="1"/>
  <c r="D34" i="1"/>
  <c r="D36" i="1" l="1"/>
  <c r="G40" i="1"/>
  <c r="I40" i="1"/>
  <c r="E37" i="1"/>
  <c r="E36" i="1"/>
  <c r="I39" i="1"/>
  <c r="G39" i="1"/>
  <c r="F38" i="1"/>
  <c r="J39" i="1"/>
  <c r="E39" i="1"/>
  <c r="H37" i="1"/>
  <c r="G36" i="1"/>
  <c r="D40" i="1"/>
  <c r="G37" i="1"/>
  <c r="J37" i="1"/>
  <c r="H40" i="1"/>
  <c r="J40" i="1"/>
  <c r="J36" i="1"/>
  <c r="J38" i="1"/>
  <c r="F39" i="1"/>
  <c r="H38" i="1"/>
  <c r="D38" i="1"/>
  <c r="D37" i="1"/>
  <c r="H36" i="1"/>
  <c r="I36" i="1"/>
  <c r="I44" i="1" s="1"/>
  <c r="I38" i="1"/>
  <c r="D39" i="1"/>
  <c r="F37" i="1"/>
  <c r="H39" i="1"/>
  <c r="F40" i="1"/>
  <c r="F36" i="1"/>
  <c r="E38" i="1"/>
  <c r="E43" i="1" s="1"/>
  <c r="G38" i="1"/>
  <c r="E40" i="1"/>
  <c r="E45" i="1" s="1"/>
  <c r="I37" i="1"/>
  <c r="E42" i="1" l="1"/>
  <c r="H44" i="1"/>
  <c r="F42" i="1"/>
  <c r="E44" i="1"/>
  <c r="J44" i="1"/>
  <c r="F44" i="1"/>
  <c r="F45" i="1"/>
  <c r="F49" i="1" s="1"/>
  <c r="I43" i="1"/>
  <c r="J43" i="1"/>
  <c r="J42" i="1"/>
  <c r="G45" i="1"/>
  <c r="F43" i="1"/>
  <c r="G43" i="1"/>
  <c r="G42" i="1"/>
  <c r="H42" i="1"/>
  <c r="I45" i="1"/>
  <c r="H45" i="1"/>
  <c r="I42" i="1"/>
  <c r="H43" i="1"/>
  <c r="J45" i="1"/>
  <c r="G44" i="1"/>
  <c r="H48" i="1" l="1"/>
  <c r="F48" i="1"/>
  <c r="G48" i="1"/>
  <c r="H47" i="1"/>
  <c r="I49" i="1"/>
  <c r="F47" i="1"/>
  <c r="I48" i="1"/>
  <c r="J48" i="1"/>
  <c r="J49" i="1"/>
  <c r="H49" i="1"/>
  <c r="G47" i="1"/>
  <c r="G49" i="1"/>
  <c r="I47" i="1"/>
  <c r="J47" i="1"/>
  <c r="H52" i="1" l="1"/>
  <c r="I52" i="1"/>
  <c r="I51" i="1"/>
  <c r="G51" i="1"/>
  <c r="J52" i="1"/>
  <c r="G52" i="1"/>
  <c r="J51" i="1"/>
  <c r="H51" i="1"/>
  <c r="J54" i="1" l="1"/>
  <c r="H54" i="1"/>
  <c r="I54" i="1"/>
</calcChain>
</file>

<file path=xl/sharedStrings.xml><?xml version="1.0" encoding="utf-8"?>
<sst xmlns="http://schemas.openxmlformats.org/spreadsheetml/2006/main" count="37" uniqueCount="35">
  <si>
    <t>matrix</t>
  </si>
  <si>
    <t>ops</t>
  </si>
  <si>
    <t>-29932,24571,4859,0,502,0,0,0,-3322,4537,-19065,4973,6625,421,1473,1036,0,-2976,592,1100,-6984,2137,2310,810,35,0,-2632,347,218,789,-6083,342,1219,1302,1866,-3155,675,764,237,0,-2428,752,0,0,-1748,222,519,358,685,305,-3247,673,485,-2567,107,247,417,38,401</t>
  </si>
  <si>
    <t>-,Multiply by -29932, subtract 4537 * row N 1,Multiply by -29932, subtract 592 * row N 1,Multiply by -29932, subtract 347 * row N 1,Multiply by -29932, subtract 675 * row N 1,Multiply by -29932, subtract 222 * row N 1,Multiply by -29932, subtract 107 * ro</t>
  </si>
  <si>
    <t>-29932,24571,4859,0,502,0,0,0,-3322,0,459174953,-170897119,-198299500,-14878946,-44089836,-31009552,0,104149546,0,-47471232,206168560,-63964684,-69440104,-24244920,-1047620,0,80747648,0,-15051313,-25302421,182076356,-10410938,-36487108,-38971464,-55853112</t>
  </si>
  <si>
    <t>-,-,Multiply by 459174953, add 47471232 * row N 2,Multiply by 459174953, add 15051313 * row N 2,Multiply by 459174953, add 39453473 * row N 2,Multiply by 459174953, add 20989470 * row N 2,Multiply by 459174953, add 10022301 * row N 2,Multiply by 459174953</t>
  </si>
  <si>
    <t>-29932,24571,4859,0,502,0,0,0,-3322,0,459174953,-170897119,-198299500,-14878946,-44089836,-31009552,0,104149546,0,0,86554742063897070,-38784502339343860,-32591478387996584,-13225658835086712,-1953102501469924,0,42021404736121220,0,0,-14190464002328460,806</t>
  </si>
  <si>
    <t>-,-,-,Multiply by 86554742063897070, add 14190464002328460 * row N 3,Multiply by 86554742063897070, add 11505832212754964 * row N 3,Multiply by 86554742063897070, add 9002711895952292 * row N 3,Multiply by 86554742063897070, add 7682771691052640 * row N 3</t>
  </si>
  <si>
    <t>-29932,24571,4859,0,502,0,0,0,-3322,0,459174953,-170897119,-198299500,-14878946,-44089836,-31009552,0,104149546,0,0,86554742063897070,-38784502339343860,-32591478387996584,-13225658835086712,-1953102501469924,0,42021404736121220,0,0,0,6.427693506425865e+3</t>
  </si>
  <si>
    <t>-,-,-,-,Multiply by 6.427693506425865e+33, add 1.1234179999327209e+33 * row N 4,Multiply by 6.427693506425865e+33, add 1.5243071706102541e+33 * row N 4,Multiply by 6.427693506425865e+33, add 5.151980658863812e+32 * row N 4,Multiply by 6.427693506425865e+3</t>
  </si>
  <si>
    <t>-,-,-,-,-,Multiply by 1.4735917237247092e+67, add 5.785579017359586e+66 * row N 5,Multiply by 1.4735917237247092e+67, add 5.2337938931688405e+66 * row N 5,Multiply by 1.4735917237247092e+67, add 1.7553440300667076e+66 * row N 5</t>
  </si>
  <si>
    <t>-,-,-,-,-,-,Multiply by 2.5337588579368277e+134, add 1.084772136165012e+134 * row N 6,Multiply by 2.5337588579368277e+134, add 7.814277065133521e+133 * row N 6</t>
  </si>
  <si>
    <t>-,-,-,-,-,-,-,Multiply by 4.117774220250796e+268, add 2.9772479345989704e+268 * row N 7</t>
  </si>
  <si>
    <t>-,-,-,-,-,-,-,Linear equation system is not solvable</t>
  </si>
  <si>
    <t>=-B13*$B$12/$B13+B$12</t>
  </si>
  <si>
    <t>=-C22*$C$21/$C22+C$21</t>
  </si>
  <si>
    <t>=-D30*$D$29/$D30+D$29</t>
  </si>
  <si>
    <t>=-E37*$E$36/$E37+E$36</t>
  </si>
  <si>
    <t>=-F43*$F$42/$F43+F$42</t>
  </si>
  <si>
    <t>=-G48*$G$47/$G48+G$47</t>
  </si>
  <si>
    <t>=IF($B2&lt;&gt;0,-B2*$B$1/$B2+B$1,B2)</t>
  </si>
  <si>
    <t>=IF($C19&lt;&gt;0,-C19*$C$18/$C19+C$18,C19)</t>
  </si>
  <si>
    <t>=IF($D35&lt;&gt;0,-D35*$D$34/$D35+D$34,D35)</t>
  </si>
  <si>
    <t>=IF($E50&lt;&gt;0,-E50*$E$49/$E50+E$49,E50)</t>
  </si>
  <si>
    <t>=IF($F64&lt;&gt;0,-F64*$F$63/$F64+F$63,F64)</t>
  </si>
  <si>
    <t>=IF($G77&lt;&gt;0,-G77*$G$76/$G77+G$76,G77)</t>
  </si>
  <si>
    <t>=IF($H89&lt;&gt;0,-H89*$H$88/$H89+H$88,H89)</t>
  </si>
  <si>
    <t>=IF($I100&lt;&gt;0,-I100*$I$99/$I100+I$99,I100)</t>
  </si>
  <si>
    <t>=IF($J110&lt;&gt;0,-J110*$J$109/$J110+J$109,J110)</t>
  </si>
  <si>
    <t>=IF($K119&lt;&gt;0,-K119*$K$118/$K119+K$118,K119)</t>
  </si>
  <si>
    <t>=IF($L127&lt;&gt;0,-L127*$L$126/$L127+L$126,L127)</t>
  </si>
  <si>
    <t>=IF($M134&lt;&gt;0,-M134*$M$133/$M134+M$134,M134)</t>
  </si>
  <si>
    <t>=IF($N140&lt;&gt;0,-N140*$N$139/$N140+N$139,N140)</t>
  </si>
  <si>
    <t>=IF($O145&lt;&gt;0,-O145*$O$144/$O145+O$144,O145)</t>
  </si>
  <si>
    <t>=IF($P149&lt;&gt;0,-P149*$P$148/$P149+P$148,P149)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</si>
</sst>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3">
    <xf numFmtId="0" fontId="0" fillId="0" borderId="0" xfId="0"/>
    <xf numFmtId="0" fontId="0" fillId="33" borderId="0" xfId="0" applyFill="1"/>
    <xf numFmtId="0" fontId="0" fillId="0" borderId="0" xfId="0" quotePrefix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63"/>
  <sheetViews>
    <sheetView workbookViewId="0">
      <selection activeCell="A21" sqref="A21"/>
    </sheetView>
  </sheetViews>
  <sheetFormatPr defaultRowHeight="15" x14ac:dyDescent="0.25"/>
  <cols>
    <col min="1" max="1" width="22.5703125" customWidth="1"/>
    <col min="2" max="2" width="10" bestFit="1" customWidth="1"/>
    <col min="3" max="10" width="12.7109375" bestFit="1" customWidth="1"/>
  </cols>
  <sheetData>
    <row r="1" spans="1:10" x14ac:dyDescent="0.25">
      <c r="A1" t="s">
        <v>0</v>
      </c>
      <c r="B1" t="s">
        <v>1</v>
      </c>
    </row>
    <row r="2" spans="1:10" x14ac:dyDescent="0.25">
      <c r="A2" t="s">
        <v>2</v>
      </c>
      <c r="B2" t="s">
        <v>3</v>
      </c>
    </row>
    <row r="3" spans="1:10" x14ac:dyDescent="0.25">
      <c r="A3" t="s">
        <v>4</v>
      </c>
      <c r="B3" t="s">
        <v>5</v>
      </c>
    </row>
    <row r="4" spans="1:10" x14ac:dyDescent="0.25">
      <c r="A4" t="s">
        <v>6</v>
      </c>
      <c r="B4" t="s">
        <v>7</v>
      </c>
    </row>
    <row r="5" spans="1:10" x14ac:dyDescent="0.25">
      <c r="A5" t="s">
        <v>8</v>
      </c>
      <c r="B5" t="s">
        <v>9</v>
      </c>
    </row>
    <row r="6" spans="1:10" x14ac:dyDescent="0.25">
      <c r="A6" t="s">
        <v>8</v>
      </c>
      <c r="B6" t="s">
        <v>10</v>
      </c>
    </row>
    <row r="7" spans="1:10" x14ac:dyDescent="0.25">
      <c r="A7" t="s">
        <v>8</v>
      </c>
      <c r="B7" t="s">
        <v>11</v>
      </c>
    </row>
    <row r="8" spans="1:10" x14ac:dyDescent="0.25">
      <c r="B8" t="s">
        <v>12</v>
      </c>
    </row>
    <row r="9" spans="1:10" x14ac:dyDescent="0.25">
      <c r="B9" t="s">
        <v>13</v>
      </c>
    </row>
    <row r="12" spans="1:10" x14ac:dyDescent="0.25">
      <c r="B12" s="1">
        <v>-29932</v>
      </c>
      <c r="C12" s="1">
        <v>24571</v>
      </c>
      <c r="D12" s="1">
        <v>4859</v>
      </c>
      <c r="E12" s="1">
        <v>0</v>
      </c>
      <c r="F12" s="1">
        <v>502</v>
      </c>
      <c r="G12" s="1">
        <v>0</v>
      </c>
      <c r="H12" s="1">
        <v>0</v>
      </c>
      <c r="I12" s="1">
        <v>0</v>
      </c>
      <c r="J12" s="1">
        <v>-3322</v>
      </c>
    </row>
    <row r="13" spans="1:10" x14ac:dyDescent="0.25">
      <c r="B13">
        <v>4537</v>
      </c>
      <c r="C13">
        <v>-19065</v>
      </c>
      <c r="D13">
        <v>4973</v>
      </c>
      <c r="E13">
        <v>6625</v>
      </c>
      <c r="F13">
        <v>421</v>
      </c>
      <c r="G13">
        <v>1473</v>
      </c>
      <c r="H13">
        <v>1036</v>
      </c>
      <c r="I13">
        <v>0</v>
      </c>
      <c r="J13">
        <v>-2976</v>
      </c>
    </row>
    <row r="14" spans="1:10" x14ac:dyDescent="0.25">
      <c r="B14">
        <v>592</v>
      </c>
      <c r="C14">
        <v>1100</v>
      </c>
      <c r="D14">
        <v>-6984</v>
      </c>
      <c r="E14">
        <v>2137</v>
      </c>
      <c r="F14">
        <v>2310</v>
      </c>
      <c r="G14">
        <v>810</v>
      </c>
      <c r="H14">
        <v>35</v>
      </c>
      <c r="I14">
        <v>0</v>
      </c>
      <c r="J14">
        <v>-2632</v>
      </c>
    </row>
    <row r="15" spans="1:10" x14ac:dyDescent="0.25">
      <c r="B15">
        <v>347</v>
      </c>
      <c r="C15">
        <v>218</v>
      </c>
      <c r="D15">
        <v>789</v>
      </c>
      <c r="E15">
        <v>-6083</v>
      </c>
      <c r="F15">
        <v>342</v>
      </c>
      <c r="G15">
        <v>1219</v>
      </c>
      <c r="H15">
        <v>1302</v>
      </c>
      <c r="I15">
        <v>1866</v>
      </c>
      <c r="J15">
        <v>-3155</v>
      </c>
    </row>
    <row r="16" spans="1:10" x14ac:dyDescent="0.25">
      <c r="B16">
        <v>675</v>
      </c>
      <c r="C16">
        <v>764</v>
      </c>
      <c r="D16">
        <v>237</v>
      </c>
      <c r="E16">
        <v>0</v>
      </c>
      <c r="F16">
        <v>-2428</v>
      </c>
      <c r="G16">
        <v>752</v>
      </c>
      <c r="H16">
        <v>0</v>
      </c>
      <c r="I16">
        <v>0</v>
      </c>
      <c r="J16">
        <v>-1748</v>
      </c>
    </row>
    <row r="17" spans="1:10" x14ac:dyDescent="0.25">
      <c r="B17">
        <v>222</v>
      </c>
      <c r="C17">
        <v>519</v>
      </c>
      <c r="D17">
        <v>358</v>
      </c>
      <c r="E17">
        <v>685</v>
      </c>
      <c r="F17">
        <v>305</v>
      </c>
      <c r="G17">
        <v>-3247</v>
      </c>
      <c r="H17">
        <v>673</v>
      </c>
      <c r="I17">
        <v>485</v>
      </c>
      <c r="J17">
        <v>-2567</v>
      </c>
    </row>
    <row r="18" spans="1:10" x14ac:dyDescent="0.25">
      <c r="B18">
        <v>107</v>
      </c>
      <c r="C18">
        <v>247</v>
      </c>
      <c r="D18">
        <v>417</v>
      </c>
      <c r="E18">
        <v>38</v>
      </c>
      <c r="F18">
        <v>401</v>
      </c>
      <c r="G18">
        <v>285</v>
      </c>
      <c r="H18">
        <v>-2220</v>
      </c>
      <c r="I18">
        <v>725</v>
      </c>
      <c r="J18">
        <v>-2052</v>
      </c>
    </row>
    <row r="19" spans="1:10" x14ac:dyDescent="0.25">
      <c r="B19">
        <v>149</v>
      </c>
      <c r="C19">
        <v>23</v>
      </c>
      <c r="D19">
        <v>88</v>
      </c>
      <c r="E19">
        <v>392</v>
      </c>
      <c r="F19">
        <v>86</v>
      </c>
      <c r="G19">
        <v>365</v>
      </c>
      <c r="H19">
        <v>487</v>
      </c>
      <c r="I19">
        <v>-1590</v>
      </c>
      <c r="J19">
        <v>-3181</v>
      </c>
    </row>
    <row r="21" spans="1:10" x14ac:dyDescent="0.25">
      <c r="A21" s="2" t="s">
        <v>14</v>
      </c>
      <c r="B21" s="1">
        <f>-B13*$B$12/$B13+B$12</f>
        <v>0</v>
      </c>
      <c r="C21" s="1">
        <f t="shared" ref="C21:J21" si="0">-C13*$B$12/$B13+C$12</f>
        <v>-101206.73418558518</v>
      </c>
      <c r="D21" s="1">
        <f t="shared" si="0"/>
        <v>37667.42759532731</v>
      </c>
      <c r="E21" s="1">
        <f t="shared" si="0"/>
        <v>43707.185364778488</v>
      </c>
      <c r="F21" s="1">
        <f t="shared" si="0"/>
        <v>3279.4679303504518</v>
      </c>
      <c r="G21" s="1">
        <f t="shared" si="0"/>
        <v>9717.8391007273531</v>
      </c>
      <c r="H21" s="1">
        <f t="shared" si="0"/>
        <v>6834.814194401587</v>
      </c>
      <c r="I21" s="1">
        <f t="shared" si="0"/>
        <v>0</v>
      </c>
      <c r="J21" s="1">
        <f t="shared" si="0"/>
        <v>-22955.597531408421</v>
      </c>
    </row>
    <row r="22" spans="1:10" x14ac:dyDescent="0.25">
      <c r="B22">
        <f t="shared" ref="B22:J22" si="1">-B14*$B$12/$B14+B$12</f>
        <v>0</v>
      </c>
      <c r="C22">
        <f>-C14*$B$12/$B14+C$12</f>
        <v>80187.891891891893</v>
      </c>
      <c r="D22">
        <f t="shared" si="1"/>
        <v>-348257.70270270272</v>
      </c>
      <c r="E22">
        <f t="shared" si="1"/>
        <v>108048.45270270271</v>
      </c>
      <c r="F22">
        <f t="shared" si="1"/>
        <v>117297.47297297297</v>
      </c>
      <c r="G22">
        <f t="shared" si="1"/>
        <v>40954.25675675676</v>
      </c>
      <c r="H22">
        <f t="shared" si="1"/>
        <v>1769.6283783783783</v>
      </c>
      <c r="I22">
        <f t="shared" si="1"/>
        <v>0</v>
      </c>
      <c r="J22">
        <f t="shared" si="1"/>
        <v>-136398.05405405405</v>
      </c>
    </row>
    <row r="23" spans="1:10" x14ac:dyDescent="0.25">
      <c r="B23">
        <f t="shared" ref="B23:J23" si="2">-B15*$B$12/$B15+B$12</f>
        <v>0</v>
      </c>
      <c r="C23">
        <f t="shared" si="2"/>
        <v>43375.541786743517</v>
      </c>
      <c r="D23">
        <f t="shared" si="2"/>
        <v>72917.639769452449</v>
      </c>
      <c r="E23">
        <f t="shared" si="2"/>
        <v>-524715.72334293951</v>
      </c>
      <c r="F23">
        <f t="shared" si="2"/>
        <v>30002.703170028817</v>
      </c>
      <c r="G23">
        <f t="shared" si="2"/>
        <v>105150.16714697407</v>
      </c>
      <c r="H23">
        <f t="shared" si="2"/>
        <v>112309.69452449567</v>
      </c>
      <c r="I23">
        <f t="shared" si="2"/>
        <v>160959.97694524497</v>
      </c>
      <c r="J23">
        <f t="shared" si="2"/>
        <v>-275470.29971181555</v>
      </c>
    </row>
    <row r="24" spans="1:10" x14ac:dyDescent="0.25">
      <c r="B24">
        <f t="shared" ref="B24:J24" si="3">-B16*$B$12/$B16+B$12</f>
        <v>0</v>
      </c>
      <c r="C24">
        <f t="shared" si="3"/>
        <v>58449.589629629627</v>
      </c>
      <c r="D24">
        <f t="shared" si="3"/>
        <v>15368.457777777778</v>
      </c>
      <c r="E24">
        <f t="shared" si="3"/>
        <v>0</v>
      </c>
      <c r="F24">
        <f t="shared" si="3"/>
        <v>-107164.5125925926</v>
      </c>
      <c r="G24">
        <f t="shared" si="3"/>
        <v>33346.465185185189</v>
      </c>
      <c r="H24">
        <f t="shared" si="3"/>
        <v>0</v>
      </c>
      <c r="I24">
        <f t="shared" si="3"/>
        <v>0</v>
      </c>
      <c r="J24">
        <f t="shared" si="3"/>
        <v>-80834.794074074074</v>
      </c>
    </row>
    <row r="25" spans="1:10" x14ac:dyDescent="0.25">
      <c r="B25">
        <f t="shared" ref="B25:J25" si="4">-B17*$B$12/$B17+B$12</f>
        <v>0</v>
      </c>
      <c r="C25">
        <f t="shared" si="4"/>
        <v>94547.16216216216</v>
      </c>
      <c r="D25">
        <f t="shared" si="4"/>
        <v>53127.720720720718</v>
      </c>
      <c r="E25">
        <f t="shared" si="4"/>
        <v>92357.747747747751</v>
      </c>
      <c r="F25">
        <f t="shared" si="4"/>
        <v>41624.792792792796</v>
      </c>
      <c r="G25">
        <f t="shared" si="4"/>
        <v>-437789.20720720722</v>
      </c>
      <c r="H25">
        <f t="shared" si="4"/>
        <v>90739.801801801805</v>
      </c>
      <c r="I25">
        <f t="shared" si="4"/>
        <v>65391.981981981982</v>
      </c>
      <c r="J25">
        <f t="shared" si="4"/>
        <v>-349427.60360360361</v>
      </c>
    </row>
    <row r="26" spans="1:10" x14ac:dyDescent="0.25">
      <c r="B26">
        <f t="shared" ref="B26:J26" si="5">-B18*$B$12/$B18+B$12</f>
        <v>0</v>
      </c>
      <c r="C26">
        <f t="shared" si="5"/>
        <v>93666.364485981307</v>
      </c>
      <c r="D26">
        <f t="shared" si="5"/>
        <v>121509.8785046729</v>
      </c>
      <c r="E26">
        <f t="shared" si="5"/>
        <v>10630.056074766355</v>
      </c>
      <c r="F26">
        <f t="shared" si="5"/>
        <v>112677.06542056074</v>
      </c>
      <c r="G26">
        <f t="shared" si="5"/>
        <v>79725.420560747662</v>
      </c>
      <c r="H26">
        <f t="shared" si="5"/>
        <v>-621019.06542056077</v>
      </c>
      <c r="I26">
        <f t="shared" si="5"/>
        <v>202810.28037383177</v>
      </c>
      <c r="J26">
        <f t="shared" si="5"/>
        <v>-577345.02803738322</v>
      </c>
    </row>
    <row r="27" spans="1:10" x14ac:dyDescent="0.25">
      <c r="B27">
        <f t="shared" ref="B27:J27" si="6">-B19*$B$12/$B19+B$12</f>
        <v>0</v>
      </c>
      <c r="C27">
        <f t="shared" si="6"/>
        <v>29191.375838926175</v>
      </c>
      <c r="D27">
        <f t="shared" si="6"/>
        <v>22536.959731543626</v>
      </c>
      <c r="E27">
        <f t="shared" si="6"/>
        <v>78747.275167785236</v>
      </c>
      <c r="F27">
        <f t="shared" si="6"/>
        <v>17778.187919463086</v>
      </c>
      <c r="G27">
        <f t="shared" si="6"/>
        <v>73323.355704697984</v>
      </c>
      <c r="H27">
        <f t="shared" si="6"/>
        <v>97831.436241610732</v>
      </c>
      <c r="I27">
        <f t="shared" si="6"/>
        <v>-319408.59060402686</v>
      </c>
      <c r="J27">
        <f t="shared" si="6"/>
        <v>-642340.06711409392</v>
      </c>
    </row>
    <row r="29" spans="1:10" x14ac:dyDescent="0.25">
      <c r="A29" s="2" t="s">
        <v>15</v>
      </c>
      <c r="B29" s="1"/>
      <c r="C29" s="1">
        <f>-C22*$C$21/$C22+C$21</f>
        <v>0</v>
      </c>
      <c r="D29" s="1">
        <f>-D22*$C$21/$C22+D$21</f>
        <v>-401875.54970395303</v>
      </c>
      <c r="E29" s="1">
        <f>-E22*$C$21/$C22+E$21</f>
        <v>180077.28780604131</v>
      </c>
      <c r="F29" s="1">
        <f>-F22*$C$21/$C22+F$21</f>
        <v>151322.94292058013</v>
      </c>
      <c r="G29" s="1">
        <f>-G22*$C$21/$C22+G$21</f>
        <v>61407.021588992626</v>
      </c>
      <c r="H29" s="1">
        <f>-H22*$C$21/$C22+H$21</f>
        <v>9068.297388338975</v>
      </c>
      <c r="I29" s="1">
        <f>-I22*$C$21/$C22+I$21</f>
        <v>0</v>
      </c>
      <c r="J29" s="1">
        <f>-J22*$C$21/$C22+J$21</f>
        <v>-195106.29602701939</v>
      </c>
    </row>
    <row r="30" spans="1:10" x14ac:dyDescent="0.25">
      <c r="C30">
        <f>-C23*$C$21/$C23+C$21</f>
        <v>0</v>
      </c>
      <c r="D30">
        <f>-D23*$C$21/$C23+D$21</f>
        <v>207803.77360040796</v>
      </c>
      <c r="E30">
        <f>-E23*$C$21/$C23+E$21</f>
        <v>-1180594.8647734374</v>
      </c>
      <c r="F30">
        <f>-F23*$C$21/$C23+F$21</f>
        <v>73283.794781343968</v>
      </c>
      <c r="G30">
        <f>-G23*$C$21/$C23+G$21</f>
        <v>255061.28791192002</v>
      </c>
      <c r="H30">
        <f>-H23*$C$21/$C23+H$21</f>
        <v>268883.35427001503</v>
      </c>
      <c r="I30">
        <f>-I23*$C$21/$C23+I$21</f>
        <v>375562.65420975024</v>
      </c>
      <c r="J30">
        <f>-J23*$C$21/$C23+J$21</f>
        <v>-665701.44577987341</v>
      </c>
    </row>
    <row r="31" spans="1:10" x14ac:dyDescent="0.25">
      <c r="C31">
        <f>-C24*$C$21/$C24+C$21</f>
        <v>0</v>
      </c>
      <c r="D31">
        <f>-D24*$C$21/$C24+D$21</f>
        <v>64278.246097455441</v>
      </c>
      <c r="E31">
        <f>-E24*$C$21/$C24+E$21</f>
        <v>43707.185364778488</v>
      </c>
      <c r="F31">
        <f>-F24*$C$21/$C24+F$21</f>
        <v>-182278.21363441987</v>
      </c>
      <c r="G31">
        <f>-G24*$C$21/$C24+G$21</f>
        <v>67457.967977784341</v>
      </c>
      <c r="H31">
        <f>-H24*$C$21/$C24+H$21</f>
        <v>6834.814194401587</v>
      </c>
      <c r="I31">
        <f>-I24*$C$21/$C24+I$21</f>
        <v>0</v>
      </c>
      <c r="J31">
        <f>-J24*$C$21/$C24+J$21</f>
        <v>-162922.7995022184</v>
      </c>
    </row>
    <row r="32" spans="1:10" x14ac:dyDescent="0.25">
      <c r="C32">
        <f>-C25*$C$21/$C25+C$21</f>
        <v>0</v>
      </c>
      <c r="D32">
        <f>-D25*$C$21/$C25+D$21</f>
        <v>94537.27948623705</v>
      </c>
      <c r="E32">
        <f>-E25*$C$21/$C25+E$21</f>
        <v>142570.29042819416</v>
      </c>
      <c r="F32">
        <f>-F25*$C$21/$C25+F$21</f>
        <v>47836.165808651989</v>
      </c>
      <c r="G32">
        <f>-G25*$C$21/$C25+G$21</f>
        <v>-458907.71146994515</v>
      </c>
      <c r="H32">
        <f>-H25*$C$21/$C25+H$21</f>
        <v>103966.01084794718</v>
      </c>
      <c r="I32">
        <f>-I25*$C$21/$C25+I$21</f>
        <v>69997.964898914739</v>
      </c>
      <c r="J32">
        <f>-J25*$C$21/$C25+J$21</f>
        <v>-396995.6616251439</v>
      </c>
    </row>
    <row r="33" spans="1:10" x14ac:dyDescent="0.25">
      <c r="C33">
        <f>-C26*$C$21/$C26+C$21</f>
        <v>0</v>
      </c>
      <c r="D33">
        <f>-D26*$C$21/$C26+D$21</f>
        <v>168959.14626329934</v>
      </c>
      <c r="E33">
        <f>-E26*$C$21/$C26+E$21</f>
        <v>55192.986756138773</v>
      </c>
      <c r="F33">
        <f>-F26*$C$21/$C26+F$21</f>
        <v>125027.31062085253</v>
      </c>
      <c r="G33">
        <f>-G26*$C$21/$C26+G$21</f>
        <v>95861.349535929476</v>
      </c>
      <c r="H33">
        <f>-H26*$C$21/$C26+H$21</f>
        <v>-664177.79340612015</v>
      </c>
      <c r="I33">
        <f>-I26*$C$21/$C26+I$21</f>
        <v>219137.00022990015</v>
      </c>
      <c r="J33">
        <f>-J26*$C$21/$C26+J$21</f>
        <v>-646778.30172842939</v>
      </c>
    </row>
    <row r="34" spans="1:10" x14ac:dyDescent="0.25">
      <c r="C34">
        <f>-C27*$C$21/$C27+C$21</f>
        <v>0</v>
      </c>
      <c r="D34">
        <f>-D27*$C$21/$C27+D$21</f>
        <v>115803.24775972136</v>
      </c>
      <c r="E34">
        <f>-E27*$C$21/$C27+E$21</f>
        <v>316724.62002497184</v>
      </c>
      <c r="F34">
        <f>-F27*$C$21/$C27+F$21</f>
        <v>64916.588050847997</v>
      </c>
      <c r="G34">
        <f>-G27*$C$21/$C27+G$21</f>
        <v>263930.50147565227</v>
      </c>
      <c r="H34">
        <f>-H27*$C$21/$C27+H$21</f>
        <v>346017.18837683566</v>
      </c>
      <c r="I34">
        <f>-I27*$C$21/$C27+I$21</f>
        <v>-1107392.1456880292</v>
      </c>
      <c r="J34">
        <f>-J27*$C$21/$C27+J$21</f>
        <v>-2249953.7626017421</v>
      </c>
    </row>
    <row r="36" spans="1:10" x14ac:dyDescent="0.25">
      <c r="A36" s="2" t="s">
        <v>16</v>
      </c>
      <c r="B36" s="1"/>
      <c r="C36" s="1"/>
      <c r="D36" s="1">
        <f>-D30*$D$29/$D30+D$29</f>
        <v>0</v>
      </c>
      <c r="E36" s="1">
        <f>-E30*$D$29/$D30+E$29</f>
        <v>-2103096.8915562043</v>
      </c>
      <c r="F36" s="1">
        <f>-F30*$D$29/$D30+F$29</f>
        <v>293047.82501428272</v>
      </c>
      <c r="G36" s="1">
        <f>-G30*$D$29/$D30+G$29</f>
        <v>554674.74965685222</v>
      </c>
      <c r="H36" s="1">
        <f>-H30*$D$29/$D30+H$29</f>
        <v>529066.77446745255</v>
      </c>
      <c r="I36" s="1">
        <f>-I30*$D$29/$D30+I$29</f>
        <v>726307.54241761612</v>
      </c>
      <c r="J36" s="1">
        <f>-J30*$D$29/$D30+J$29</f>
        <v>-1482518.5976724294</v>
      </c>
    </row>
    <row r="37" spans="1:10" x14ac:dyDescent="0.25">
      <c r="D37">
        <f>-D31*$D$29/$D31+D$29</f>
        <v>0</v>
      </c>
      <c r="E37">
        <f>-E31*$D$29/$D31+E$29</f>
        <v>453340.01992620504</v>
      </c>
      <c r="F37">
        <f>-F31*$D$29/$D31+F$29</f>
        <v>-988303.00754988415</v>
      </c>
      <c r="G37">
        <f>-G31*$D$29/$D31+G$29</f>
        <v>483162.58601247374</v>
      </c>
      <c r="H37">
        <f>-H31*$D$29/$D31+H$29</f>
        <v>51800.401611205336</v>
      </c>
      <c r="I37">
        <f>-I31*$D$29/$D31+I$29</f>
        <v>0</v>
      </c>
      <c r="J37">
        <f>-J31*$D$29/$D31+J$29</f>
        <v>-1213719.8019087997</v>
      </c>
    </row>
    <row r="38" spans="1:10" x14ac:dyDescent="0.25">
      <c r="D38">
        <f>-D32*$D$29/$D32+D$29</f>
        <v>0</v>
      </c>
      <c r="E38">
        <f>-E32*$D$29/$D32+E$29</f>
        <v>786139.93471798219</v>
      </c>
      <c r="F38">
        <f>-F32*$D$29/$D32+F$29</f>
        <v>354673.25651702925</v>
      </c>
      <c r="G38">
        <f>-G32*$D$29/$D32+G$29</f>
        <v>-1889397.8864072876</v>
      </c>
      <c r="H38">
        <f>-H32*$D$29/$D32+H$29</f>
        <v>451025.14221301524</v>
      </c>
      <c r="I38">
        <f>-I32*$D$29/$D32+I$29</f>
        <v>297559.55295926053</v>
      </c>
      <c r="J38">
        <f>-J32*$D$29/$D32+J$29</f>
        <v>-1882724.6685116629</v>
      </c>
    </row>
    <row r="39" spans="1:10" x14ac:dyDescent="0.25">
      <c r="D39">
        <f>-D33*$D$29/$D33+D$29</f>
        <v>0</v>
      </c>
      <c r="E39">
        <f>-E33*$D$29/$D33+E$29</f>
        <v>311355.83876332839</v>
      </c>
      <c r="F39">
        <f>-F33*$D$29/$D33+F$29</f>
        <v>448705.00417615427</v>
      </c>
      <c r="G39">
        <f>-G33*$D$29/$D33+G$29</f>
        <v>289416.77064442186</v>
      </c>
      <c r="H39">
        <f>-H33*$D$29/$D33+H$29</f>
        <v>-1570703.03627057</v>
      </c>
      <c r="I39">
        <f>-I33*$D$29/$D33+I$29</f>
        <v>521225.42268666596</v>
      </c>
      <c r="J39">
        <f>-J33*$D$29/$D33+J$29</f>
        <v>-1733492.2981594268</v>
      </c>
    </row>
    <row r="40" spans="1:10" x14ac:dyDescent="0.25">
      <c r="D40">
        <f>-D34*$D$29/$D34+D$29</f>
        <v>0</v>
      </c>
      <c r="E40">
        <f>-E34*$D$29/$D34+E$29</f>
        <v>1279216.4159366344</v>
      </c>
      <c r="F40">
        <f>-F34*$D$29/$D34+F$29</f>
        <v>376604.96231583983</v>
      </c>
      <c r="G40">
        <f>-G34*$D$29/$D34+G$29</f>
        <v>977333.10670402518</v>
      </c>
      <c r="H40">
        <f>-H34*$D$29/$D34+H$29</f>
        <v>1209862.3206654948</v>
      </c>
      <c r="I40">
        <f>-I34*$D$29/$D34+I$29</f>
        <v>-3843016.8056219947</v>
      </c>
      <c r="J40">
        <f>-J34*$D$29/$D34+J$29</f>
        <v>-8003189.5980615886</v>
      </c>
    </row>
    <row r="42" spans="1:10" x14ac:dyDescent="0.25">
      <c r="A42" s="2" t="s">
        <v>17</v>
      </c>
      <c r="B42" s="1"/>
      <c r="C42" s="1"/>
      <c r="D42" s="1"/>
      <c r="E42" s="1">
        <f>-E37*$E$36/$E37+E$36</f>
        <v>0</v>
      </c>
      <c r="F42" s="1">
        <f>-F37*$E$36/$E37+F$36</f>
        <v>-4291804.3648103615</v>
      </c>
      <c r="G42" s="1">
        <f>-G37*$E$36/$E37+G$36</f>
        <v>2796121.9815259869</v>
      </c>
      <c r="H42" s="1">
        <f>-H37*$E$36/$E37+H$36</f>
        <v>769374.84086675802</v>
      </c>
      <c r="I42" s="1">
        <f>-I37*$E$36/$E37+I$36</f>
        <v>726307.54241761612</v>
      </c>
      <c r="J42" s="1">
        <f>-J37*$E$36/$E37+J$36</f>
        <v>-7113105.4208479282</v>
      </c>
    </row>
    <row r="43" spans="1:10" x14ac:dyDescent="0.25">
      <c r="E43">
        <f>-E38*$E$36/$E38+E$36</f>
        <v>0</v>
      </c>
      <c r="F43">
        <f>-F38*$E$36/$E38+F$36</f>
        <v>1241876.6407984179</v>
      </c>
      <c r="G43">
        <f>-G38*$E$36/$E38+G$36</f>
        <v>-4499879.3396752244</v>
      </c>
      <c r="H43">
        <f>-H38*$E$36/$E38+H$36</f>
        <v>1735658.0347653632</v>
      </c>
      <c r="I43">
        <f>-I38*$E$36/$E38+I$36</f>
        <v>1522344.6641114419</v>
      </c>
      <c r="J43">
        <f>-J38*$E$36/$E38+J$36</f>
        <v>-6519220.3642904852</v>
      </c>
    </row>
    <row r="44" spans="1:10" x14ac:dyDescent="0.25">
      <c r="E44">
        <f>-E39*$E$36/$E39+E$36</f>
        <v>0</v>
      </c>
      <c r="F44">
        <f>-F39*$E$36/$E39+F$36</f>
        <v>3323889.0106388694</v>
      </c>
      <c r="G44">
        <f>-G39*$E$36/$E39+G$36</f>
        <v>2509581.1137838131</v>
      </c>
      <c r="H44">
        <f>-H39*$E$36/$E39+H$36</f>
        <v>-10080468.239422245</v>
      </c>
      <c r="I44">
        <f>-I39*$E$36/$E39+I$36</f>
        <v>4246998.1149995662</v>
      </c>
      <c r="J44">
        <f>-J39*$E$36/$E39+J$36</f>
        <v>-13191636.622489452</v>
      </c>
    </row>
    <row r="45" spans="1:10" x14ac:dyDescent="0.25">
      <c r="E45">
        <f>-E40*$E$36/$E40+E$36</f>
        <v>0</v>
      </c>
      <c r="F45">
        <f>-F40*$E$36/$E40+F$36</f>
        <v>912205.54979313479</v>
      </c>
      <c r="G45">
        <f>-G40*$E$36/$E40+G$36</f>
        <v>2161460.1169468998</v>
      </c>
      <c r="H45">
        <f>-H40*$E$36/$E40+H$36</f>
        <v>2518142.0037276568</v>
      </c>
      <c r="I45">
        <f>-I40*$E$36/$E40+I$36</f>
        <v>-5591807.6704676934</v>
      </c>
      <c r="J45">
        <f>-J40*$E$36/$E40+J$36</f>
        <v>-14640169.606938414</v>
      </c>
    </row>
    <row r="47" spans="1:10" x14ac:dyDescent="0.25">
      <c r="A47" s="2" t="s">
        <v>18</v>
      </c>
      <c r="B47" s="1"/>
      <c r="C47" s="1"/>
      <c r="D47" s="1"/>
      <c r="E47" s="1"/>
      <c r="F47" s="1">
        <f>-F43*$F$42/$F43+F$42</f>
        <v>0</v>
      </c>
      <c r="G47" s="1">
        <f>-G43*$F$42/$F43+G$42</f>
        <v>-12755021.470791291</v>
      </c>
      <c r="H47" s="1">
        <f>-H43*$F$42/$F43+H$42</f>
        <v>6767639.4709471166</v>
      </c>
      <c r="I47" s="1">
        <f>-I43*$F$42/$F43+I$42</f>
        <v>5987381.9998441711</v>
      </c>
      <c r="J47" s="1">
        <f>-J43*$F$42/$F43+J$42</f>
        <v>-29642894.20617713</v>
      </c>
    </row>
    <row r="48" spans="1:10" x14ac:dyDescent="0.25">
      <c r="F48">
        <f>-F44*$F$42/$F44+F$42</f>
        <v>0</v>
      </c>
      <c r="G48">
        <f>-G44*$F$42/$F44+G$42</f>
        <v>6036492.2657048935</v>
      </c>
      <c r="H48">
        <f>-H44*$F$42/$F44+H$42</f>
        <v>-12246522.33584708</v>
      </c>
      <c r="I48">
        <f>-I44*$F$42/$F44+I$42</f>
        <v>6210030.0701421909</v>
      </c>
      <c r="J48">
        <f>-J44*$F$42/$F44+J$42</f>
        <v>-24146142.160095297</v>
      </c>
    </row>
    <row r="49" spans="1:20" x14ac:dyDescent="0.25">
      <c r="F49">
        <f>-F45*$F$42/$F45+F$42</f>
        <v>0</v>
      </c>
      <c r="G49">
        <f>-G45*$F$42/$F45+G$42</f>
        <v>12965500.984295603</v>
      </c>
      <c r="H49">
        <f>-H45*$F$42/$F45+H$42</f>
        <v>12616894.125595411</v>
      </c>
      <c r="I49">
        <f>-I45*$F$42/$F45+I$42</f>
        <v>-25582395.109891023</v>
      </c>
      <c r="J49">
        <f>-J45*$F$42/$F45+J$42</f>
        <v>-75993133.430841029</v>
      </c>
    </row>
    <row r="51" spans="1:20" x14ac:dyDescent="0.25">
      <c r="A51" s="2" t="s">
        <v>19</v>
      </c>
      <c r="B51" s="1"/>
      <c r="C51" s="1"/>
      <c r="D51" s="1"/>
      <c r="E51" s="1"/>
      <c r="F51" s="1"/>
      <c r="G51" s="1">
        <f>-G48*$G$47/$G48+G$47</f>
        <v>0</v>
      </c>
      <c r="H51" s="1">
        <f>-H48*$G$47/$G48+H$47</f>
        <v>-19109086.359333441</v>
      </c>
      <c r="I51" s="1">
        <f>-I48*$G$47/$G48+I$47</f>
        <v>19109086.359333448</v>
      </c>
      <c r="J51" s="1">
        <f>-J48*$G$47/$G48+J$47</f>
        <v>-80663345.841400146</v>
      </c>
    </row>
    <row r="52" spans="1:20" x14ac:dyDescent="0.25">
      <c r="G52">
        <f>-G49*$G$47/$G49+G$47</f>
        <v>0</v>
      </c>
      <c r="H52">
        <f>-H49*$G$47/$G49+H$47</f>
        <v>19179713.301460426</v>
      </c>
      <c r="I52">
        <f>-I49*$G$47/$G49+I$47</f>
        <v>-19179713.301460437</v>
      </c>
      <c r="J52">
        <f>-J49*$G$47/$G49+J$47</f>
        <v>-104402369.34849036</v>
      </c>
    </row>
    <row r="54" spans="1:20" x14ac:dyDescent="0.25">
      <c r="B54" s="1"/>
      <c r="C54" s="1"/>
      <c r="D54" s="1"/>
      <c r="E54" s="1"/>
      <c r="F54" s="1"/>
      <c r="G54" s="1"/>
      <c r="H54" s="1">
        <f>-H52*$H$51/$H52+H$51</f>
        <v>0</v>
      </c>
      <c r="I54" s="1">
        <f>-I52*$H$51/$H52+I$51</f>
        <v>0</v>
      </c>
      <c r="J54" s="1">
        <f>-J52*$H$51/$H52+J$51</f>
        <v>-184681266.26815742</v>
      </c>
    </row>
    <row r="56" spans="1:20" x14ac:dyDescent="0.25">
      <c r="B56">
        <v>-29932</v>
      </c>
      <c r="C56">
        <v>24571</v>
      </c>
      <c r="D56">
        <v>4859</v>
      </c>
      <c r="E56">
        <v>0</v>
      </c>
      <c r="F56">
        <v>502</v>
      </c>
      <c r="G56">
        <v>0</v>
      </c>
      <c r="H56">
        <v>0</v>
      </c>
      <c r="I56">
        <v>0</v>
      </c>
      <c r="J56">
        <v>-3322</v>
      </c>
      <c r="L56">
        <f>LOG(ABS(B56),2)</f>
        <v>14.869401059778095</v>
      </c>
      <c r="M56">
        <f>LOG(ABS(C56),2)</f>
        <v>14.584668953801534</v>
      </c>
      <c r="N56">
        <f>LOG(ABS(D56),2)</f>
        <v>12.246443717117286</v>
      </c>
      <c r="O56" t="e">
        <f>LOG(ABS(E56),2)</f>
        <v>#NUM!</v>
      </c>
      <c r="P56">
        <f>LOG(ABS(F56),2)</f>
        <v>8.971543553950772</v>
      </c>
      <c r="Q56" t="e">
        <f>LOG(ABS(G56),2)</f>
        <v>#NUM!</v>
      </c>
      <c r="R56" t="e">
        <f>LOG(ABS(H56),2)</f>
        <v>#NUM!</v>
      </c>
      <c r="S56" t="e">
        <f>LOG(ABS(I56),2)</f>
        <v>#NUM!</v>
      </c>
      <c r="T56">
        <f>LOG(ABS(J56),2)</f>
        <v>11.697836357962375</v>
      </c>
    </row>
    <row r="57" spans="1:20" x14ac:dyDescent="0.25">
      <c r="B57">
        <v>0</v>
      </c>
      <c r="C57">
        <v>-101206.73418558518</v>
      </c>
      <c r="D57">
        <v>37667.42759532731</v>
      </c>
      <c r="E57">
        <v>43707.185364778488</v>
      </c>
      <c r="F57">
        <v>3279.4679303504518</v>
      </c>
      <c r="G57">
        <v>9717.8391007273531</v>
      </c>
      <c r="H57">
        <v>6834.814194401587</v>
      </c>
      <c r="I57">
        <v>0</v>
      </c>
      <c r="J57">
        <v>-22955.597531408421</v>
      </c>
      <c r="M57">
        <f>LOG(ABS(C57),2)</f>
        <v>16.626945763015634</v>
      </c>
      <c r="N57">
        <f>LOG(ABS(D57),2)</f>
        <v>15.201029890876033</v>
      </c>
      <c r="O57">
        <f>LOG(ABS(E57),2)</f>
        <v>15.415582854652635</v>
      </c>
      <c r="P57">
        <f>LOG(ABS(F57),2)</f>
        <v>11.679246051788576</v>
      </c>
      <c r="Q57">
        <f>LOG(ABS(G57),2)</f>
        <v>13.246419830463198</v>
      </c>
      <c r="R57">
        <f>LOG(ABS(H57),2)</f>
        <v>12.738686403113906</v>
      </c>
      <c r="S57" t="e">
        <f>LOG(ABS(I57),2)</f>
        <v>#NUM!</v>
      </c>
      <c r="T57">
        <f>LOG(ABS(J57),2)</f>
        <v>14.486558365264726</v>
      </c>
    </row>
    <row r="58" spans="1:20" x14ac:dyDescent="0.25">
      <c r="B58">
        <v>0</v>
      </c>
      <c r="C58">
        <v>0</v>
      </c>
      <c r="D58">
        <v>-401875.54970395303</v>
      </c>
      <c r="E58">
        <v>180077.28780604131</v>
      </c>
      <c r="F58">
        <v>151322.94292058013</v>
      </c>
      <c r="G58">
        <v>61407.021588992626</v>
      </c>
      <c r="H58">
        <v>9068.297388338975</v>
      </c>
      <c r="I58">
        <v>0</v>
      </c>
      <c r="J58">
        <v>-195106.29602701939</v>
      </c>
      <c r="N58">
        <f>LOG(ABS(D58),2)</f>
        <v>18.616389280263711</v>
      </c>
      <c r="O58">
        <f>LOG(ABS(E58),2)</f>
        <v>17.458256707675147</v>
      </c>
      <c r="P58">
        <f>LOG(ABS(F58),2)</f>
        <v>17.207271213666324</v>
      </c>
      <c r="Q58">
        <f>LOG(ABS(G58),2)</f>
        <v>15.906116009614585</v>
      </c>
      <c r="R58">
        <f>LOG(ABS(H58),2)</f>
        <v>13.14661598867051</v>
      </c>
      <c r="S58" t="e">
        <f>LOG(ABS(I58),2)</f>
        <v>#NUM!</v>
      </c>
      <c r="T58">
        <f>LOG(ABS(J58),2)</f>
        <v>17.573900808510864</v>
      </c>
    </row>
    <row r="59" spans="1:20" x14ac:dyDescent="0.25">
      <c r="B59">
        <v>0</v>
      </c>
      <c r="C59">
        <v>0</v>
      </c>
      <c r="D59">
        <v>0</v>
      </c>
      <c r="E59">
        <v>-2103096.8915562043</v>
      </c>
      <c r="F59">
        <v>293047.82501428272</v>
      </c>
      <c r="G59">
        <v>554674.74965685222</v>
      </c>
      <c r="H59">
        <v>529066.77446745255</v>
      </c>
      <c r="I59">
        <v>726307.54241761612</v>
      </c>
      <c r="J59">
        <v>-1482518.5976724294</v>
      </c>
      <c r="O59">
        <f>LOG(ABS(E59),2)</f>
        <v>21.004083887176836</v>
      </c>
      <c r="P59">
        <f>LOG(ABS(F59),2)</f>
        <v>18.160776604205591</v>
      </c>
      <c r="Q59">
        <f>LOG(ABS(G59),2)</f>
        <v>19.081282525888916</v>
      </c>
      <c r="R59">
        <f>LOG(ABS(H59),2)</f>
        <v>19.013090293398943</v>
      </c>
      <c r="S59">
        <f>LOG(ABS(I59),2)</f>
        <v>19.470221036392093</v>
      </c>
      <c r="T59">
        <f>LOG(ABS(J59),2)</f>
        <v>20.499618772308942</v>
      </c>
    </row>
    <row r="60" spans="1:20" x14ac:dyDescent="0.25">
      <c r="B60">
        <v>0</v>
      </c>
      <c r="C60">
        <v>0</v>
      </c>
      <c r="D60">
        <v>0</v>
      </c>
      <c r="E60">
        <v>0</v>
      </c>
      <c r="F60">
        <v>-4291804.3648103615</v>
      </c>
      <c r="G60">
        <v>2796121.9815259869</v>
      </c>
      <c r="H60">
        <v>769374.84086675802</v>
      </c>
      <c r="I60">
        <v>726307.54241761612</v>
      </c>
      <c r="J60">
        <v>-7113105.4208479282</v>
      </c>
      <c r="P60">
        <f>LOG(ABS(F60),2)</f>
        <v>22.033152883920334</v>
      </c>
      <c r="Q60">
        <f>LOG(ABS(G60),2)</f>
        <v>21.414995869345084</v>
      </c>
      <c r="R60">
        <f>LOG(ABS(H60),2)</f>
        <v>19.553327127634866</v>
      </c>
      <c r="S60">
        <f>LOG(ABS(I60),2)</f>
        <v>19.470221036392093</v>
      </c>
      <c r="T60">
        <f>LOG(ABS(J60),2)</f>
        <v>22.762048114702377</v>
      </c>
    </row>
    <row r="61" spans="1:20" x14ac:dyDescent="0.25">
      <c r="B61">
        <v>0</v>
      </c>
      <c r="C61">
        <v>0</v>
      </c>
      <c r="D61">
        <v>0</v>
      </c>
      <c r="E61">
        <v>0</v>
      </c>
      <c r="F61">
        <v>0</v>
      </c>
      <c r="G61">
        <v>-12755021.470791291</v>
      </c>
      <c r="H61">
        <v>6767639.4709471166</v>
      </c>
      <c r="I61">
        <v>5987381.9998441711</v>
      </c>
      <c r="J61">
        <v>-29642894.20617713</v>
      </c>
      <c r="Q61">
        <f>LOG(ABS(G61),2)</f>
        <v>23.604561991672348</v>
      </c>
      <c r="R61">
        <f>LOG(ABS(H61),2)</f>
        <v>22.690221283861995</v>
      </c>
      <c r="S61">
        <f>LOG(ABS(I61),2)</f>
        <v>22.513493887618978</v>
      </c>
      <c r="T61">
        <f>LOG(ABS(J61),2)</f>
        <v>24.821182977342989</v>
      </c>
    </row>
    <row r="62" spans="1:20" x14ac:dyDescent="0.25">
      <c r="B62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-19109086.359333441</v>
      </c>
      <c r="I62">
        <v>19109086.359333448</v>
      </c>
      <c r="J62">
        <v>-80663345.841400146</v>
      </c>
      <c r="R62">
        <f>LOG(ABS(H62),2)</f>
        <v>24.1877554662648</v>
      </c>
      <c r="S62">
        <f>LOG(ABS(I62),2)</f>
        <v>24.1877554662648</v>
      </c>
      <c r="T62">
        <f>LOG(ABS(J62),2)</f>
        <v>26.265409912859912</v>
      </c>
    </row>
    <row r="63" spans="1:20" x14ac:dyDescent="0.25">
      <c r="B63">
        <v>0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-184681266.26815742</v>
      </c>
      <c r="S63" t="e">
        <f>LOG(ABS(I63),2)</f>
        <v>#NUM!</v>
      </c>
      <c r="T63">
        <f>LOG(ABS(J63),2)</f>
        <v>27.460462288479519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Z151"/>
  <sheetViews>
    <sheetView tabSelected="1" topLeftCell="A2" workbookViewId="0">
      <selection activeCell="C18" sqref="C18"/>
    </sheetView>
  </sheetViews>
  <sheetFormatPr defaultRowHeight="15" x14ac:dyDescent="0.25"/>
  <cols>
    <col min="1" max="1" width="47.28515625" bestFit="1" customWidth="1"/>
    <col min="2" max="10" width="9.140625" customWidth="1"/>
    <col min="51" max="51" width="9.7109375" bestFit="1" customWidth="1"/>
  </cols>
  <sheetData>
    <row r="1" spans="2:52" x14ac:dyDescent="0.25">
      <c r="B1" s="1">
        <v>-104911</v>
      </c>
      <c r="C1" s="1">
        <v>104911</v>
      </c>
      <c r="D1" s="1">
        <v>0</v>
      </c>
      <c r="E1" s="1">
        <v>0</v>
      </c>
      <c r="F1" s="1">
        <v>0</v>
      </c>
      <c r="G1" s="1">
        <v>0</v>
      </c>
      <c r="H1" s="1">
        <v>0</v>
      </c>
      <c r="I1" s="1">
        <v>0</v>
      </c>
      <c r="J1" s="1">
        <v>0</v>
      </c>
      <c r="K1" s="1">
        <v>0</v>
      </c>
      <c r="L1" s="1">
        <v>0</v>
      </c>
      <c r="M1" s="1">
        <v>0</v>
      </c>
      <c r="N1" s="1">
        <v>0</v>
      </c>
      <c r="O1" s="1">
        <v>0</v>
      </c>
      <c r="P1" s="1">
        <v>0</v>
      </c>
      <c r="Q1" s="1">
        <v>0</v>
      </c>
      <c r="R1" s="1">
        <v>0</v>
      </c>
      <c r="T1">
        <f>B1</f>
        <v>-104911</v>
      </c>
      <c r="U1">
        <f t="shared" ref="U1:AH1" si="0">C1</f>
        <v>104911</v>
      </c>
      <c r="V1">
        <f t="shared" si="0"/>
        <v>0</v>
      </c>
      <c r="W1">
        <f t="shared" si="0"/>
        <v>0</v>
      </c>
      <c r="X1">
        <f t="shared" si="0"/>
        <v>0</v>
      </c>
      <c r="Y1">
        <f t="shared" si="0"/>
        <v>0</v>
      </c>
      <c r="Z1">
        <f t="shared" si="0"/>
        <v>0</v>
      </c>
      <c r="AA1">
        <f t="shared" si="0"/>
        <v>0</v>
      </c>
      <c r="AB1">
        <f t="shared" si="0"/>
        <v>0</v>
      </c>
      <c r="AC1">
        <f t="shared" si="0"/>
        <v>0</v>
      </c>
      <c r="AD1">
        <f t="shared" si="0"/>
        <v>0</v>
      </c>
      <c r="AE1">
        <f t="shared" si="0"/>
        <v>0</v>
      </c>
      <c r="AF1">
        <f t="shared" si="0"/>
        <v>0</v>
      </c>
      <c r="AG1">
        <f t="shared" si="0"/>
        <v>0</v>
      </c>
      <c r="AH1">
        <f t="shared" si="0"/>
        <v>0</v>
      </c>
      <c r="AI1">
        <f t="shared" ref="AI1" si="1">Q1</f>
        <v>0</v>
      </c>
      <c r="AJ1">
        <f t="shared" ref="AJ1" si="2">R1</f>
        <v>0</v>
      </c>
      <c r="AT1">
        <f t="shared" ref="AT1:AT8" si="3">AC1*$AK$10</f>
        <v>0</v>
      </c>
      <c r="AU1">
        <f t="shared" ref="AU1:AU9" si="4">AD1*$AK$11</f>
        <v>0</v>
      </c>
      <c r="AV1">
        <f t="shared" ref="AV1:AV10" si="5">AE1*$AK$12</f>
        <v>0</v>
      </c>
      <c r="AW1">
        <f t="shared" ref="AW1:AW11" si="6">AF1*$AK$13</f>
        <v>0</v>
      </c>
      <c r="AX1">
        <f t="shared" ref="AX1:AX12" si="7">AG1*$AK$14</f>
        <v>0</v>
      </c>
      <c r="AY1">
        <f t="shared" ref="AY1:AY13" si="8">AH1*$AK$15</f>
        <v>0</v>
      </c>
      <c r="AZ1">
        <f t="shared" ref="AZ1:AZ14" si="9">AI1*AK$16</f>
        <v>0</v>
      </c>
    </row>
    <row r="2" spans="2:52" x14ac:dyDescent="0.25">
      <c r="B2">
        <v>75631</v>
      </c>
      <c r="C2">
        <v>-105563</v>
      </c>
      <c r="D2">
        <v>24571</v>
      </c>
      <c r="E2">
        <v>0</v>
      </c>
      <c r="F2">
        <v>4859</v>
      </c>
      <c r="G2">
        <v>0</v>
      </c>
      <c r="H2">
        <v>0</v>
      </c>
      <c r="I2">
        <v>0</v>
      </c>
      <c r="J2">
        <v>502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-3322</v>
      </c>
      <c r="T2">
        <f>B18</f>
        <v>0</v>
      </c>
      <c r="U2">
        <f t="shared" ref="U2:AJ2" si="10">C18</f>
        <v>-41519.959434623364</v>
      </c>
      <c r="V2">
        <f t="shared" si="10"/>
        <v>34083.48667874284</v>
      </c>
      <c r="W2">
        <f t="shared" si="10"/>
        <v>0</v>
      </c>
      <c r="X2">
        <f t="shared" si="10"/>
        <v>6740.1270510769391</v>
      </c>
      <c r="Y2">
        <f t="shared" si="10"/>
        <v>0</v>
      </c>
      <c r="Z2">
        <f t="shared" si="10"/>
        <v>0</v>
      </c>
      <c r="AA2">
        <f t="shared" si="10"/>
        <v>0</v>
      </c>
      <c r="AB2">
        <f t="shared" si="10"/>
        <v>696.34570480358582</v>
      </c>
      <c r="AC2">
        <f t="shared" si="10"/>
        <v>0</v>
      </c>
      <c r="AD2">
        <f t="shared" si="10"/>
        <v>0</v>
      </c>
      <c r="AE2">
        <f t="shared" si="10"/>
        <v>0</v>
      </c>
      <c r="AF2">
        <f t="shared" si="10"/>
        <v>0</v>
      </c>
      <c r="AG2">
        <f t="shared" si="10"/>
        <v>0</v>
      </c>
      <c r="AH2">
        <f t="shared" si="10"/>
        <v>0</v>
      </c>
      <c r="AI2">
        <f t="shared" si="10"/>
        <v>0</v>
      </c>
      <c r="AJ2">
        <f t="shared" si="10"/>
        <v>-4608.0885086803028</v>
      </c>
      <c r="AT2">
        <f t="shared" si="3"/>
        <v>0</v>
      </c>
      <c r="AU2">
        <f t="shared" si="4"/>
        <v>0</v>
      </c>
      <c r="AV2">
        <f t="shared" si="5"/>
        <v>0</v>
      </c>
      <c r="AW2">
        <f t="shared" si="6"/>
        <v>0</v>
      </c>
      <c r="AX2">
        <f t="shared" si="7"/>
        <v>0</v>
      </c>
      <c r="AY2">
        <f t="shared" si="8"/>
        <v>0</v>
      </c>
      <c r="AZ2">
        <f t="shared" si="9"/>
        <v>0</v>
      </c>
    </row>
    <row r="3" spans="2:52" x14ac:dyDescent="0.25">
      <c r="B3">
        <v>0</v>
      </c>
      <c r="C3">
        <v>0</v>
      </c>
      <c r="D3">
        <v>-37508</v>
      </c>
      <c r="E3">
        <v>37508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T3">
        <f>B34</f>
        <v>0</v>
      </c>
      <c r="U3">
        <f t="shared" ref="U3:AJ3" si="11">C34</f>
        <v>0</v>
      </c>
      <c r="V3">
        <f t="shared" si="11"/>
        <v>-37508</v>
      </c>
      <c r="W3">
        <f t="shared" si="11"/>
        <v>37508</v>
      </c>
      <c r="X3">
        <f t="shared" si="11"/>
        <v>0</v>
      </c>
      <c r="Y3">
        <f t="shared" si="11"/>
        <v>0</v>
      </c>
      <c r="Z3">
        <f t="shared" si="11"/>
        <v>0</v>
      </c>
      <c r="AA3">
        <f t="shared" si="11"/>
        <v>0</v>
      </c>
      <c r="AB3">
        <f t="shared" si="11"/>
        <v>0</v>
      </c>
      <c r="AC3">
        <f t="shared" si="11"/>
        <v>0</v>
      </c>
      <c r="AD3">
        <f t="shared" si="11"/>
        <v>0</v>
      </c>
      <c r="AE3">
        <f t="shared" si="11"/>
        <v>0</v>
      </c>
      <c r="AF3">
        <f t="shared" si="11"/>
        <v>0</v>
      </c>
      <c r="AG3">
        <f t="shared" si="11"/>
        <v>0</v>
      </c>
      <c r="AH3">
        <f t="shared" si="11"/>
        <v>0</v>
      </c>
      <c r="AI3">
        <f t="shared" si="11"/>
        <v>0</v>
      </c>
      <c r="AJ3">
        <f t="shared" si="11"/>
        <v>0</v>
      </c>
      <c r="AT3">
        <f t="shared" si="3"/>
        <v>0</v>
      </c>
      <c r="AU3">
        <f t="shared" si="4"/>
        <v>0</v>
      </c>
      <c r="AV3">
        <f t="shared" si="5"/>
        <v>0</v>
      </c>
      <c r="AW3">
        <f t="shared" si="6"/>
        <v>0</v>
      </c>
      <c r="AX3">
        <f t="shared" si="7"/>
        <v>0</v>
      </c>
      <c r="AY3">
        <f t="shared" si="8"/>
        <v>0</v>
      </c>
      <c r="AZ3">
        <f t="shared" si="9"/>
        <v>0</v>
      </c>
    </row>
    <row r="4" spans="2:52" x14ac:dyDescent="0.25">
      <c r="B4">
        <v>3710</v>
      </c>
      <c r="C4">
        <v>827</v>
      </c>
      <c r="D4">
        <v>18476</v>
      </c>
      <c r="E4">
        <v>-37541</v>
      </c>
      <c r="F4">
        <v>2302</v>
      </c>
      <c r="G4">
        <v>2671</v>
      </c>
      <c r="H4">
        <v>6625</v>
      </c>
      <c r="I4">
        <v>0</v>
      </c>
      <c r="J4">
        <v>293</v>
      </c>
      <c r="K4">
        <v>128</v>
      </c>
      <c r="L4">
        <v>1473</v>
      </c>
      <c r="M4">
        <v>0</v>
      </c>
      <c r="N4">
        <v>1036</v>
      </c>
      <c r="O4">
        <v>0</v>
      </c>
      <c r="P4">
        <v>0</v>
      </c>
      <c r="Q4">
        <v>0</v>
      </c>
      <c r="R4">
        <v>-2976</v>
      </c>
      <c r="T4">
        <f>B49</f>
        <v>0</v>
      </c>
      <c r="U4">
        <f t="shared" ref="U4:AJ4" si="12">C49</f>
        <v>0</v>
      </c>
      <c r="V4">
        <f t="shared" si="12"/>
        <v>0</v>
      </c>
      <c r="W4">
        <f t="shared" si="12"/>
        <v>-25918.247686685449</v>
      </c>
      <c r="X4">
        <f t="shared" si="12"/>
        <v>5133.6252906192158</v>
      </c>
      <c r="Y4">
        <f t="shared" si="12"/>
        <v>4512.7063096650818</v>
      </c>
      <c r="Z4">
        <f t="shared" si="12"/>
        <v>11193.066005814737</v>
      </c>
      <c r="AA4">
        <f t="shared" si="12"/>
        <v>0</v>
      </c>
      <c r="AB4">
        <f t="shared" si="12"/>
        <v>623.5874304228663</v>
      </c>
      <c r="AC4">
        <f t="shared" si="12"/>
        <v>216.25848282932625</v>
      </c>
      <c r="AD4">
        <f t="shared" si="12"/>
        <v>2488.6620719343559</v>
      </c>
      <c r="AE4">
        <f t="shared" si="12"/>
        <v>0</v>
      </c>
      <c r="AF4">
        <f t="shared" si="12"/>
        <v>1750.3420953998598</v>
      </c>
      <c r="AG4">
        <f t="shared" si="12"/>
        <v>0</v>
      </c>
      <c r="AH4">
        <f t="shared" si="12"/>
        <v>0</v>
      </c>
      <c r="AI4">
        <f t="shared" si="12"/>
        <v>0</v>
      </c>
      <c r="AJ4">
        <f t="shared" si="12"/>
        <v>-5878.7477671584566</v>
      </c>
      <c r="AT4">
        <f t="shared" si="3"/>
        <v>1752.5282066111934</v>
      </c>
      <c r="AU4">
        <f t="shared" si="4"/>
        <v>18050.030418372782</v>
      </c>
      <c r="AV4">
        <f t="shared" si="5"/>
        <v>0</v>
      </c>
      <c r="AW4">
        <f t="shared" si="6"/>
        <v>8117.8269615813952</v>
      </c>
      <c r="AX4">
        <f t="shared" si="7"/>
        <v>0</v>
      </c>
      <c r="AY4">
        <f t="shared" si="8"/>
        <v>0</v>
      </c>
      <c r="AZ4">
        <f t="shared" si="9"/>
        <v>0</v>
      </c>
    </row>
    <row r="5" spans="2:52" x14ac:dyDescent="0.25">
      <c r="B5">
        <v>0</v>
      </c>
      <c r="C5">
        <v>0</v>
      </c>
      <c r="D5">
        <v>0</v>
      </c>
      <c r="E5">
        <v>0</v>
      </c>
      <c r="F5">
        <v>-12720</v>
      </c>
      <c r="G5">
        <v>12720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T5">
        <f>B63</f>
        <v>0</v>
      </c>
      <c r="U5">
        <f t="shared" ref="U5:AJ5" si="13">C63</f>
        <v>0</v>
      </c>
      <c r="V5">
        <f t="shared" si="13"/>
        <v>0</v>
      </c>
      <c r="W5">
        <f t="shared" si="13"/>
        <v>0</v>
      </c>
      <c r="X5">
        <f t="shared" si="13"/>
        <v>-12720</v>
      </c>
      <c r="Y5">
        <f t="shared" si="13"/>
        <v>12720</v>
      </c>
      <c r="Z5">
        <f t="shared" si="13"/>
        <v>0</v>
      </c>
      <c r="AA5">
        <f t="shared" si="13"/>
        <v>0</v>
      </c>
      <c r="AB5">
        <f t="shared" si="13"/>
        <v>0</v>
      </c>
      <c r="AC5">
        <f t="shared" si="13"/>
        <v>0</v>
      </c>
      <c r="AD5">
        <f t="shared" si="13"/>
        <v>0</v>
      </c>
      <c r="AE5">
        <f t="shared" si="13"/>
        <v>0</v>
      </c>
      <c r="AF5">
        <f t="shared" si="13"/>
        <v>0</v>
      </c>
      <c r="AG5">
        <f t="shared" si="13"/>
        <v>0</v>
      </c>
      <c r="AH5">
        <f t="shared" si="13"/>
        <v>0</v>
      </c>
      <c r="AI5">
        <f t="shared" si="13"/>
        <v>0</v>
      </c>
      <c r="AJ5">
        <f t="shared" si="13"/>
        <v>0</v>
      </c>
      <c r="AT5">
        <f t="shared" si="3"/>
        <v>0</v>
      </c>
      <c r="AU5">
        <f t="shared" si="4"/>
        <v>0</v>
      </c>
      <c r="AV5">
        <f t="shared" si="5"/>
        <v>0</v>
      </c>
      <c r="AW5">
        <f t="shared" si="6"/>
        <v>0</v>
      </c>
      <c r="AX5">
        <f t="shared" si="7"/>
        <v>0</v>
      </c>
      <c r="AY5">
        <f t="shared" si="8"/>
        <v>0</v>
      </c>
      <c r="AZ5">
        <f t="shared" si="9"/>
        <v>0</v>
      </c>
    </row>
    <row r="6" spans="2:52" x14ac:dyDescent="0.25">
      <c r="B6">
        <v>483</v>
      </c>
      <c r="C6">
        <v>109</v>
      </c>
      <c r="D6">
        <v>1100</v>
      </c>
      <c r="E6">
        <v>0</v>
      </c>
      <c r="F6">
        <v>8535</v>
      </c>
      <c r="G6">
        <v>-15519</v>
      </c>
      <c r="H6">
        <v>2137</v>
      </c>
      <c r="I6">
        <v>0</v>
      </c>
      <c r="J6">
        <v>1669</v>
      </c>
      <c r="K6">
        <v>641</v>
      </c>
      <c r="L6">
        <v>810</v>
      </c>
      <c r="M6">
        <v>0</v>
      </c>
      <c r="N6">
        <v>35</v>
      </c>
      <c r="O6">
        <v>0</v>
      </c>
      <c r="P6">
        <v>0</v>
      </c>
      <c r="Q6">
        <v>0</v>
      </c>
      <c r="R6">
        <v>-2632</v>
      </c>
      <c r="T6">
        <f>B76</f>
        <v>0</v>
      </c>
      <c r="U6">
        <f t="shared" ref="U6:AJ6" si="14">C76</f>
        <v>0</v>
      </c>
      <c r="V6">
        <f t="shared" si="14"/>
        <v>0</v>
      </c>
      <c r="W6">
        <f t="shared" si="14"/>
        <v>0</v>
      </c>
      <c r="X6">
        <f t="shared" si="14"/>
        <v>0</v>
      </c>
      <c r="Y6">
        <f t="shared" si="14"/>
        <v>-8955.1383803296412</v>
      </c>
      <c r="Z6">
        <f t="shared" si="14"/>
        <v>4012.7274044054266</v>
      </c>
      <c r="AA6">
        <f t="shared" si="14"/>
        <v>0</v>
      </c>
      <c r="AB6">
        <f t="shared" si="14"/>
        <v>2441.6735000075832</v>
      </c>
      <c r="AC6">
        <f t="shared" si="14"/>
        <v>930.31042628697332</v>
      </c>
      <c r="AD6">
        <f t="shared" si="14"/>
        <v>1368.3548955850042</v>
      </c>
      <c r="AE6">
        <f t="shared" si="14"/>
        <v>0</v>
      </c>
      <c r="AF6">
        <f t="shared" si="14"/>
        <v>202.07215404465452</v>
      </c>
      <c r="AG6">
        <f t="shared" si="14"/>
        <v>0</v>
      </c>
      <c r="AH6">
        <f t="shared" si="14"/>
        <v>0</v>
      </c>
      <c r="AI6">
        <f t="shared" si="14"/>
        <v>0</v>
      </c>
      <c r="AJ6">
        <f t="shared" si="14"/>
        <v>-4347.6242361164277</v>
      </c>
      <c r="AT6">
        <f t="shared" si="3"/>
        <v>7539.1043238712227</v>
      </c>
      <c r="AU6">
        <f t="shared" si="4"/>
        <v>9924.5485222672396</v>
      </c>
      <c r="AV6">
        <f t="shared" si="5"/>
        <v>0</v>
      </c>
      <c r="AW6">
        <f t="shared" si="6"/>
        <v>937.18067148112812</v>
      </c>
      <c r="AX6">
        <f t="shared" si="7"/>
        <v>0</v>
      </c>
      <c r="AY6">
        <f t="shared" si="8"/>
        <v>0</v>
      </c>
      <c r="AZ6">
        <f t="shared" si="9"/>
        <v>0</v>
      </c>
    </row>
    <row r="7" spans="2:52" x14ac:dyDescent="0.25"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-12958</v>
      </c>
      <c r="I7">
        <v>12958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T7">
        <f>B88</f>
        <v>0</v>
      </c>
      <c r="U7">
        <f t="shared" ref="U7:AJ7" si="15">C88</f>
        <v>0</v>
      </c>
      <c r="V7">
        <f t="shared" si="15"/>
        <v>0</v>
      </c>
      <c r="W7">
        <f t="shared" si="15"/>
        <v>0</v>
      </c>
      <c r="X7">
        <f t="shared" si="15"/>
        <v>0</v>
      </c>
      <c r="Y7">
        <f t="shared" si="15"/>
        <v>0</v>
      </c>
      <c r="Z7">
        <f t="shared" si="15"/>
        <v>-12958</v>
      </c>
      <c r="AA7">
        <f t="shared" si="15"/>
        <v>12958</v>
      </c>
      <c r="AB7">
        <f t="shared" si="15"/>
        <v>0</v>
      </c>
      <c r="AC7">
        <f t="shared" si="15"/>
        <v>0</v>
      </c>
      <c r="AD7">
        <f t="shared" si="15"/>
        <v>0</v>
      </c>
      <c r="AE7">
        <f t="shared" si="15"/>
        <v>0</v>
      </c>
      <c r="AF7">
        <f t="shared" si="15"/>
        <v>0</v>
      </c>
      <c r="AG7">
        <f t="shared" si="15"/>
        <v>0</v>
      </c>
      <c r="AH7">
        <f t="shared" si="15"/>
        <v>0</v>
      </c>
      <c r="AI7">
        <f t="shared" si="15"/>
        <v>0</v>
      </c>
      <c r="AJ7">
        <f t="shared" si="15"/>
        <v>0</v>
      </c>
      <c r="AT7">
        <f t="shared" si="3"/>
        <v>0</v>
      </c>
      <c r="AU7">
        <f t="shared" si="4"/>
        <v>0</v>
      </c>
      <c r="AV7">
        <f t="shared" si="5"/>
        <v>0</v>
      </c>
      <c r="AW7">
        <f t="shared" si="6"/>
        <v>0</v>
      </c>
      <c r="AX7">
        <f t="shared" si="7"/>
        <v>0</v>
      </c>
      <c r="AY7">
        <f t="shared" si="8"/>
        <v>0</v>
      </c>
      <c r="AZ7">
        <f t="shared" si="9"/>
        <v>0</v>
      </c>
    </row>
    <row r="8" spans="2:52" x14ac:dyDescent="0.25">
      <c r="B8">
        <v>344</v>
      </c>
      <c r="C8">
        <v>3</v>
      </c>
      <c r="D8">
        <v>171</v>
      </c>
      <c r="E8">
        <v>47</v>
      </c>
      <c r="F8">
        <v>762</v>
      </c>
      <c r="G8">
        <v>27</v>
      </c>
      <c r="H8">
        <v>6875</v>
      </c>
      <c r="I8">
        <v>-12958</v>
      </c>
      <c r="J8">
        <v>330</v>
      </c>
      <c r="K8">
        <v>12</v>
      </c>
      <c r="L8">
        <v>1130</v>
      </c>
      <c r="M8">
        <v>89</v>
      </c>
      <c r="N8">
        <v>871</v>
      </c>
      <c r="O8">
        <v>431</v>
      </c>
      <c r="P8">
        <v>1866</v>
      </c>
      <c r="Q8">
        <v>0</v>
      </c>
      <c r="R8">
        <v>-3155</v>
      </c>
      <c r="T8">
        <f>B99</f>
        <v>0</v>
      </c>
      <c r="U8">
        <f t="shared" ref="U8:AJ8" si="16">C99</f>
        <v>0</v>
      </c>
      <c r="V8">
        <f t="shared" si="16"/>
        <v>0</v>
      </c>
      <c r="W8">
        <f t="shared" si="16"/>
        <v>0</v>
      </c>
      <c r="X8">
        <f t="shared" si="16"/>
        <v>0</v>
      </c>
      <c r="Y8">
        <f t="shared" si="16"/>
        <v>0</v>
      </c>
      <c r="Z8">
        <f t="shared" si="16"/>
        <v>0</v>
      </c>
      <c r="AA8">
        <f t="shared" si="16"/>
        <v>-9267.5489120734819</v>
      </c>
      <c r="AB8">
        <f t="shared" si="16"/>
        <v>1079.5990977820686</v>
      </c>
      <c r="AC8">
        <f t="shared" si="16"/>
        <v>211.75132111708695</v>
      </c>
      <c r="AD8">
        <f t="shared" si="16"/>
        <v>2291.5881556355343</v>
      </c>
      <c r="AE8">
        <f t="shared" si="16"/>
        <v>152.65271285495749</v>
      </c>
      <c r="AF8">
        <f t="shared" si="16"/>
        <v>1592.1454738092536</v>
      </c>
      <c r="AG8">
        <f t="shared" si="16"/>
        <v>739.25077798299651</v>
      </c>
      <c r="AH8">
        <f t="shared" si="16"/>
        <v>3200.5613728915805</v>
      </c>
      <c r="AI8">
        <f t="shared" si="16"/>
        <v>0</v>
      </c>
      <c r="AJ8">
        <f t="shared" si="16"/>
        <v>-6532.8961647702808</v>
      </c>
      <c r="AS8">
        <f>AB8*$AK$10</f>
        <v>8748.9186363537101</v>
      </c>
      <c r="AT8">
        <f t="shared" si="3"/>
        <v>1716.0028045593751</v>
      </c>
      <c r="AU8">
        <f t="shared" si="4"/>
        <v>16620.67195947334</v>
      </c>
      <c r="AV8">
        <f t="shared" si="5"/>
        <v>1107.1756754573901</v>
      </c>
      <c r="AW8">
        <f t="shared" si="6"/>
        <v>7384.1345003451597</v>
      </c>
      <c r="AX8">
        <f t="shared" si="7"/>
        <v>3428.5354346742474</v>
      </c>
      <c r="AY8">
        <f t="shared" si="8"/>
        <v>16828.07417195207</v>
      </c>
      <c r="AZ8">
        <f t="shared" si="9"/>
        <v>0</v>
      </c>
    </row>
    <row r="9" spans="2:52" x14ac:dyDescent="0.25"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-4063</v>
      </c>
      <c r="K9">
        <v>4063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T9">
        <f>B109</f>
        <v>0</v>
      </c>
      <c r="U9">
        <f t="shared" ref="U9:AJ9" si="17">C109</f>
        <v>0</v>
      </c>
      <c r="V9">
        <f t="shared" si="17"/>
        <v>0</v>
      </c>
      <c r="W9">
        <f t="shared" si="17"/>
        <v>0</v>
      </c>
      <c r="X9">
        <f t="shared" si="17"/>
        <v>0</v>
      </c>
      <c r="Y9">
        <f t="shared" si="17"/>
        <v>0</v>
      </c>
      <c r="Z9">
        <f t="shared" si="17"/>
        <v>0</v>
      </c>
      <c r="AA9">
        <f t="shared" si="17"/>
        <v>0</v>
      </c>
      <c r="AB9">
        <f t="shared" si="17"/>
        <v>-4063</v>
      </c>
      <c r="AC9">
        <f t="shared" si="17"/>
        <v>4063</v>
      </c>
      <c r="AD9">
        <f t="shared" si="17"/>
        <v>0</v>
      </c>
      <c r="AE9">
        <f t="shared" si="17"/>
        <v>0</v>
      </c>
      <c r="AF9">
        <f t="shared" si="17"/>
        <v>0</v>
      </c>
      <c r="AG9">
        <f t="shared" si="17"/>
        <v>0</v>
      </c>
      <c r="AH9">
        <f t="shared" si="17"/>
        <v>0</v>
      </c>
      <c r="AI9">
        <f t="shared" si="17"/>
        <v>0</v>
      </c>
      <c r="AJ9">
        <f t="shared" si="17"/>
        <v>0</v>
      </c>
      <c r="AK9">
        <f>(AJ9-SUM(AL9:AZ9))/AB9</f>
        <v>8.1038587882552999</v>
      </c>
      <c r="AT9">
        <f>AC9*$AK$10</f>
        <v>32925.978256681286</v>
      </c>
      <c r="AU9">
        <f t="shared" si="4"/>
        <v>0</v>
      </c>
      <c r="AV9">
        <f t="shared" si="5"/>
        <v>0</v>
      </c>
      <c r="AW9">
        <f t="shared" si="6"/>
        <v>0</v>
      </c>
      <c r="AX9">
        <f t="shared" si="7"/>
        <v>0</v>
      </c>
      <c r="AY9">
        <f t="shared" si="8"/>
        <v>0</v>
      </c>
      <c r="AZ9">
        <f t="shared" si="9"/>
        <v>0</v>
      </c>
    </row>
    <row r="10" spans="2:52" x14ac:dyDescent="0.25">
      <c r="B10">
        <v>603</v>
      </c>
      <c r="C10">
        <v>72</v>
      </c>
      <c r="D10">
        <v>764</v>
      </c>
      <c r="E10">
        <v>0</v>
      </c>
      <c r="F10">
        <v>237</v>
      </c>
      <c r="G10">
        <v>0</v>
      </c>
      <c r="H10">
        <v>0</v>
      </c>
      <c r="I10">
        <v>0</v>
      </c>
      <c r="J10">
        <v>2523</v>
      </c>
      <c r="K10">
        <v>-4951</v>
      </c>
      <c r="L10">
        <v>752</v>
      </c>
      <c r="M10">
        <v>0</v>
      </c>
      <c r="N10">
        <v>0</v>
      </c>
      <c r="O10">
        <v>0</v>
      </c>
      <c r="P10">
        <v>0</v>
      </c>
      <c r="Q10">
        <v>0</v>
      </c>
      <c r="R10">
        <v>-1748</v>
      </c>
      <c r="T10">
        <f>B118</f>
        <v>0</v>
      </c>
      <c r="U10">
        <f t="shared" ref="U10:AJ10" si="18">C118</f>
        <v>0</v>
      </c>
      <c r="V10">
        <f t="shared" si="18"/>
        <v>0</v>
      </c>
      <c r="W10">
        <f t="shared" si="18"/>
        <v>0</v>
      </c>
      <c r="X10">
        <f t="shared" si="18"/>
        <v>0</v>
      </c>
      <c r="Y10">
        <f t="shared" si="18"/>
        <v>0</v>
      </c>
      <c r="Z10">
        <f t="shared" si="18"/>
        <v>0</v>
      </c>
      <c r="AA10">
        <f t="shared" si="18"/>
        <v>0</v>
      </c>
      <c r="AB10">
        <f t="shared" si="18"/>
        <v>0</v>
      </c>
      <c r="AC10">
        <f t="shared" si="18"/>
        <v>-2696.0175757553397</v>
      </c>
      <c r="AD10">
        <f t="shared" si="18"/>
        <v>1734.7014915842944</v>
      </c>
      <c r="AE10">
        <f t="shared" si="18"/>
        <v>21.761144028641514</v>
      </c>
      <c r="AF10">
        <f t="shared" si="18"/>
        <v>377.92181841443158</v>
      </c>
      <c r="AG10">
        <f t="shared" si="18"/>
        <v>105.38261883533141</v>
      </c>
      <c r="AH10">
        <f t="shared" si="18"/>
        <v>456.25050289264124</v>
      </c>
      <c r="AI10">
        <f t="shared" si="18"/>
        <v>0</v>
      </c>
      <c r="AJ10">
        <f t="shared" si="18"/>
        <v>-4468.2971549319373</v>
      </c>
      <c r="AK10">
        <f>(AJ10-SUM(AL10:AZ10))/AC10</f>
        <v>8.1038587882552999</v>
      </c>
      <c r="AU10">
        <f>AD10*$AK$11</f>
        <v>12581.625702824253</v>
      </c>
      <c r="AV10">
        <f t="shared" si="5"/>
        <v>157.83151761953292</v>
      </c>
      <c r="AW10">
        <f t="shared" si="6"/>
        <v>1752.7453261607632</v>
      </c>
      <c r="AX10">
        <f t="shared" si="7"/>
        <v>488.7489518259444</v>
      </c>
      <c r="AY10">
        <f t="shared" si="8"/>
        <v>2398.8970712132277</v>
      </c>
      <c r="AZ10">
        <f t="shared" si="9"/>
        <v>0</v>
      </c>
    </row>
    <row r="11" spans="2:52" x14ac:dyDescent="0.25"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-5742</v>
      </c>
      <c r="M11">
        <v>5742</v>
      </c>
      <c r="N11">
        <v>0</v>
      </c>
      <c r="O11">
        <v>0</v>
      </c>
      <c r="P11">
        <v>0</v>
      </c>
      <c r="Q11">
        <v>0</v>
      </c>
      <c r="R11">
        <v>0</v>
      </c>
      <c r="T11">
        <f>B126</f>
        <v>0</v>
      </c>
      <c r="U11">
        <f t="shared" ref="U11:AJ11" si="19">C126</f>
        <v>0</v>
      </c>
      <c r="V11">
        <f t="shared" si="19"/>
        <v>0</v>
      </c>
      <c r="W11">
        <f t="shared" si="19"/>
        <v>0</v>
      </c>
      <c r="X11">
        <f t="shared" si="19"/>
        <v>0</v>
      </c>
      <c r="Y11">
        <f t="shared" si="19"/>
        <v>0</v>
      </c>
      <c r="Z11">
        <f t="shared" si="19"/>
        <v>0</v>
      </c>
      <c r="AA11">
        <f t="shared" si="19"/>
        <v>0</v>
      </c>
      <c r="AB11">
        <f t="shared" si="19"/>
        <v>0</v>
      </c>
      <c r="AC11">
        <f t="shared" si="19"/>
        <v>0</v>
      </c>
      <c r="AD11">
        <f t="shared" si="19"/>
        <v>-5742</v>
      </c>
      <c r="AE11">
        <f t="shared" si="19"/>
        <v>5742</v>
      </c>
      <c r="AF11">
        <f t="shared" si="19"/>
        <v>0</v>
      </c>
      <c r="AG11">
        <f t="shared" si="19"/>
        <v>0</v>
      </c>
      <c r="AH11">
        <f t="shared" si="19"/>
        <v>0</v>
      </c>
      <c r="AI11">
        <f t="shared" si="19"/>
        <v>0</v>
      </c>
      <c r="AJ11">
        <f t="shared" si="19"/>
        <v>0</v>
      </c>
      <c r="AK11">
        <f>(AJ11-SUM(AL11:AZ11))/AD11</f>
        <v>7.2529053349308619</v>
      </c>
      <c r="AV11">
        <f>AE11*$AK$12</f>
        <v>41646.182433173009</v>
      </c>
      <c r="AW11">
        <f t="shared" si="6"/>
        <v>0</v>
      </c>
      <c r="AX11">
        <f t="shared" si="7"/>
        <v>0</v>
      </c>
      <c r="AY11">
        <f t="shared" si="8"/>
        <v>0</v>
      </c>
      <c r="AZ11">
        <f t="shared" si="9"/>
        <v>0</v>
      </c>
    </row>
    <row r="12" spans="2:52" x14ac:dyDescent="0.25">
      <c r="B12">
        <v>214</v>
      </c>
      <c r="C12">
        <v>8</v>
      </c>
      <c r="D12">
        <v>495</v>
      </c>
      <c r="E12">
        <v>24</v>
      </c>
      <c r="F12">
        <v>258</v>
      </c>
      <c r="G12">
        <v>100</v>
      </c>
      <c r="H12">
        <v>685</v>
      </c>
      <c r="I12">
        <v>0</v>
      </c>
      <c r="J12">
        <v>262</v>
      </c>
      <c r="K12">
        <v>43</v>
      </c>
      <c r="L12">
        <v>2587</v>
      </c>
      <c r="M12">
        <v>-5834</v>
      </c>
      <c r="N12">
        <v>226</v>
      </c>
      <c r="O12">
        <v>447</v>
      </c>
      <c r="P12">
        <v>485</v>
      </c>
      <c r="Q12">
        <v>0</v>
      </c>
      <c r="R12">
        <v>-2567</v>
      </c>
      <c r="T12">
        <f>B133</f>
        <v>0</v>
      </c>
      <c r="U12">
        <f t="shared" ref="U12:AJ12" si="20">C133</f>
        <v>0</v>
      </c>
      <c r="V12">
        <f t="shared" si="20"/>
        <v>0</v>
      </c>
      <c r="W12">
        <f t="shared" si="20"/>
        <v>0</v>
      </c>
      <c r="X12">
        <f t="shared" si="20"/>
        <v>0</v>
      </c>
      <c r="Y12">
        <f t="shared" si="20"/>
        <v>0</v>
      </c>
      <c r="Z12">
        <f t="shared" si="20"/>
        <v>0</v>
      </c>
      <c r="AA12">
        <f t="shared" si="20"/>
        <v>0</v>
      </c>
      <c r="AB12">
        <f t="shared" si="20"/>
        <v>0</v>
      </c>
      <c r="AC12">
        <f t="shared" si="20"/>
        <v>0</v>
      </c>
      <c r="AD12">
        <f t="shared" si="20"/>
        <v>0</v>
      </c>
      <c r="AE12">
        <f t="shared" si="20"/>
        <v>-3628.8806885411959</v>
      </c>
      <c r="AF12">
        <f t="shared" si="20"/>
        <v>991.40083975757864</v>
      </c>
      <c r="AG12">
        <f t="shared" si="20"/>
        <v>934.03348737143472</v>
      </c>
      <c r="AH12">
        <f t="shared" si="20"/>
        <v>1703.446361412181</v>
      </c>
      <c r="AI12">
        <f t="shared" si="20"/>
        <v>0</v>
      </c>
      <c r="AJ12">
        <f t="shared" si="20"/>
        <v>-8433.5825371678075</v>
      </c>
      <c r="AK12">
        <f>(AJ12-SUM(AL12:AZ12))/AE12</f>
        <v>7.2529053349308619</v>
      </c>
      <c r="AW12">
        <f>AF12*$AK$13</f>
        <v>4597.9700127591141</v>
      </c>
      <c r="AX12">
        <f t="shared" si="7"/>
        <v>4331.9087432857359</v>
      </c>
      <c r="AY12">
        <f t="shared" si="8"/>
        <v>8956.4668125353619</v>
      </c>
      <c r="AZ12">
        <f t="shared" si="9"/>
        <v>0</v>
      </c>
    </row>
    <row r="13" spans="2:52" x14ac:dyDescent="0.25"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-3167</v>
      </c>
      <c r="O13">
        <v>3167</v>
      </c>
      <c r="P13">
        <v>0</v>
      </c>
      <c r="Q13">
        <v>0</v>
      </c>
      <c r="R13">
        <v>0</v>
      </c>
      <c r="T13">
        <f>B139</f>
        <v>0</v>
      </c>
      <c r="U13">
        <f t="shared" ref="U13:AJ13" si="21">C139</f>
        <v>0</v>
      </c>
      <c r="V13">
        <f t="shared" si="21"/>
        <v>0</v>
      </c>
      <c r="W13">
        <f t="shared" si="21"/>
        <v>0</v>
      </c>
      <c r="X13">
        <f t="shared" si="21"/>
        <v>0</v>
      </c>
      <c r="Y13">
        <f t="shared" si="21"/>
        <v>0</v>
      </c>
      <c r="Z13">
        <f t="shared" si="21"/>
        <v>0</v>
      </c>
      <c r="AA13">
        <f t="shared" si="21"/>
        <v>0</v>
      </c>
      <c r="AB13">
        <f t="shared" si="21"/>
        <v>0</v>
      </c>
      <c r="AC13">
        <f t="shared" si="21"/>
        <v>0</v>
      </c>
      <c r="AD13">
        <f t="shared" si="21"/>
        <v>0</v>
      </c>
      <c r="AE13">
        <f t="shared" si="21"/>
        <v>0</v>
      </c>
      <c r="AF13">
        <f t="shared" si="21"/>
        <v>-3167</v>
      </c>
      <c r="AG13">
        <f t="shared" si="21"/>
        <v>3167</v>
      </c>
      <c r="AH13">
        <f t="shared" si="21"/>
        <v>0</v>
      </c>
      <c r="AI13">
        <f t="shared" si="21"/>
        <v>0</v>
      </c>
      <c r="AJ13">
        <f t="shared" si="21"/>
        <v>0</v>
      </c>
      <c r="AK13">
        <f>(AJ13-SUM(AL13:AZ13))/AF13</f>
        <v>4.6378516422110643</v>
      </c>
      <c r="AX13">
        <f>AG13*$AK$14</f>
        <v>14688.07615088244</v>
      </c>
      <c r="AY13">
        <f t="shared" si="8"/>
        <v>0</v>
      </c>
      <c r="AZ13">
        <f t="shared" si="9"/>
        <v>0</v>
      </c>
    </row>
    <row r="14" spans="2:52" x14ac:dyDescent="0.25">
      <c r="B14">
        <v>105</v>
      </c>
      <c r="C14">
        <v>2</v>
      </c>
      <c r="D14">
        <v>247</v>
      </c>
      <c r="E14">
        <v>0</v>
      </c>
      <c r="F14">
        <v>405</v>
      </c>
      <c r="G14">
        <v>12</v>
      </c>
      <c r="H14">
        <v>38</v>
      </c>
      <c r="I14">
        <v>0</v>
      </c>
      <c r="J14">
        <v>326</v>
      </c>
      <c r="K14">
        <v>75</v>
      </c>
      <c r="L14">
        <v>285</v>
      </c>
      <c r="M14">
        <v>0</v>
      </c>
      <c r="N14">
        <v>1909</v>
      </c>
      <c r="O14">
        <v>-4129</v>
      </c>
      <c r="P14">
        <v>725</v>
      </c>
      <c r="Q14">
        <v>0</v>
      </c>
      <c r="R14">
        <v>-2052</v>
      </c>
      <c r="T14">
        <f>B144</f>
        <v>0</v>
      </c>
      <c r="U14">
        <f t="shared" ref="U14:AJ14" si="22">C144</f>
        <v>0</v>
      </c>
      <c r="V14">
        <f t="shared" si="22"/>
        <v>0</v>
      </c>
      <c r="W14">
        <f t="shared" si="22"/>
        <v>0</v>
      </c>
      <c r="X14">
        <f t="shared" si="22"/>
        <v>0</v>
      </c>
      <c r="Y14">
        <f t="shared" si="22"/>
        <v>0</v>
      </c>
      <c r="Z14">
        <f t="shared" si="22"/>
        <v>0</v>
      </c>
      <c r="AA14">
        <f t="shared" si="22"/>
        <v>0</v>
      </c>
      <c r="AB14">
        <f t="shared" si="22"/>
        <v>0</v>
      </c>
      <c r="AC14">
        <f t="shared" si="22"/>
        <v>0</v>
      </c>
      <c r="AD14">
        <f t="shared" si="22"/>
        <v>0</v>
      </c>
      <c r="AE14">
        <f t="shared" si="22"/>
        <v>0</v>
      </c>
      <c r="AF14">
        <f t="shared" si="22"/>
        <v>0</v>
      </c>
      <c r="AG14">
        <f t="shared" si="22"/>
        <v>-4853.7334214415323</v>
      </c>
      <c r="AH14">
        <f t="shared" si="22"/>
        <v>2461.2563202026099</v>
      </c>
      <c r="AI14">
        <f t="shared" si="22"/>
        <v>0</v>
      </c>
      <c r="AJ14">
        <f t="shared" si="22"/>
        <v>-9569.9770095774256</v>
      </c>
      <c r="AK14">
        <f>(AJ14-SUM(AL14:AZ14))/AG14</f>
        <v>4.6378516422110643</v>
      </c>
      <c r="AY14">
        <f>AH14*$AK$15</f>
        <v>12940.918509909912</v>
      </c>
      <c r="AZ14">
        <f t="shared" si="9"/>
        <v>0</v>
      </c>
    </row>
    <row r="15" spans="2:52" x14ac:dyDescent="0.25"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-4508</v>
      </c>
      <c r="Q15">
        <v>4508</v>
      </c>
      <c r="R15">
        <v>0</v>
      </c>
      <c r="T15">
        <f>B148</f>
        <v>0</v>
      </c>
      <c r="U15">
        <f t="shared" ref="U15:AJ15" si="23">C148</f>
        <v>0</v>
      </c>
      <c r="V15">
        <f t="shared" si="23"/>
        <v>0</v>
      </c>
      <c r="W15">
        <f t="shared" si="23"/>
        <v>0</v>
      </c>
      <c r="X15">
        <f t="shared" si="23"/>
        <v>0</v>
      </c>
      <c r="Y15">
        <f t="shared" si="23"/>
        <v>0</v>
      </c>
      <c r="Z15">
        <f t="shared" si="23"/>
        <v>0</v>
      </c>
      <c r="AA15">
        <f t="shared" si="23"/>
        <v>0</v>
      </c>
      <c r="AB15">
        <f t="shared" si="23"/>
        <v>0</v>
      </c>
      <c r="AC15">
        <f t="shared" si="23"/>
        <v>0</v>
      </c>
      <c r="AD15">
        <f t="shared" si="23"/>
        <v>0</v>
      </c>
      <c r="AE15">
        <f t="shared" si="23"/>
        <v>0</v>
      </c>
      <c r="AF15">
        <f t="shared" si="23"/>
        <v>0</v>
      </c>
      <c r="AG15">
        <f t="shared" si="23"/>
        <v>0</v>
      </c>
      <c r="AH15">
        <f t="shared" si="23"/>
        <v>-4508</v>
      </c>
      <c r="AI15">
        <f t="shared" si="23"/>
        <v>4508</v>
      </c>
      <c r="AJ15">
        <f t="shared" si="23"/>
        <v>0</v>
      </c>
      <c r="AK15">
        <f>(AJ15-SUM(AL15:AZ15))/AH15</f>
        <v>5.2578507990767172</v>
      </c>
      <c r="AZ15">
        <f>AI15*$AK$16</f>
        <v>23702.391402237841</v>
      </c>
    </row>
    <row r="16" spans="2:52" x14ac:dyDescent="0.25">
      <c r="B16">
        <v>148</v>
      </c>
      <c r="C16">
        <v>1</v>
      </c>
      <c r="D16">
        <v>23</v>
      </c>
      <c r="E16">
        <v>0</v>
      </c>
      <c r="F16">
        <v>88</v>
      </c>
      <c r="G16">
        <v>0</v>
      </c>
      <c r="H16">
        <v>389</v>
      </c>
      <c r="I16">
        <v>3</v>
      </c>
      <c r="J16">
        <v>84</v>
      </c>
      <c r="K16">
        <v>2</v>
      </c>
      <c r="L16">
        <v>361</v>
      </c>
      <c r="M16">
        <v>4</v>
      </c>
      <c r="N16">
        <v>401</v>
      </c>
      <c r="O16">
        <v>86</v>
      </c>
      <c r="P16">
        <v>2918</v>
      </c>
      <c r="Q16">
        <v>-4508</v>
      </c>
      <c r="R16">
        <v>-3181</v>
      </c>
      <c r="T16">
        <f>B151</f>
        <v>0</v>
      </c>
      <c r="U16">
        <f t="shared" ref="U16:AJ16" si="24">C151</f>
        <v>0</v>
      </c>
      <c r="V16">
        <f t="shared" si="24"/>
        <v>0</v>
      </c>
      <c r="W16">
        <f t="shared" si="24"/>
        <v>0</v>
      </c>
      <c r="X16">
        <f t="shared" si="24"/>
        <v>0</v>
      </c>
      <c r="Y16">
        <f t="shared" si="24"/>
        <v>0</v>
      </c>
      <c r="Z16">
        <f t="shared" si="24"/>
        <v>0</v>
      </c>
      <c r="AA16">
        <f t="shared" si="24"/>
        <v>0</v>
      </c>
      <c r="AB16">
        <f t="shared" si="24"/>
        <v>0</v>
      </c>
      <c r="AC16">
        <f t="shared" si="24"/>
        <v>0</v>
      </c>
      <c r="AD16">
        <f t="shared" si="24"/>
        <v>0</v>
      </c>
      <c r="AE16">
        <f t="shared" si="24"/>
        <v>0</v>
      </c>
      <c r="AF16">
        <f t="shared" si="24"/>
        <v>0</v>
      </c>
      <c r="AG16">
        <f t="shared" si="24"/>
        <v>0</v>
      </c>
      <c r="AH16">
        <f t="shared" si="24"/>
        <v>0</v>
      </c>
      <c r="AI16">
        <f t="shared" si="24"/>
        <v>-1328.5836862514425</v>
      </c>
      <c r="AJ16">
        <f t="shared" si="24"/>
        <v>-6985.4947963974373</v>
      </c>
      <c r="AK16">
        <f>AJ16/AI16</f>
        <v>5.2578507990767172</v>
      </c>
    </row>
    <row r="17" spans="1:18" x14ac:dyDescent="0.25">
      <c r="A17" s="2"/>
    </row>
    <row r="18" spans="1:18" x14ac:dyDescent="0.25">
      <c r="A18" s="2" t="s">
        <v>20</v>
      </c>
      <c r="B18" s="1">
        <f>IF($B2&lt;&gt;0,-B2*$B$1/$B2+B$1,B2)</f>
        <v>0</v>
      </c>
      <c r="C18" s="1">
        <f>IF($B2&lt;&gt;0,-C2*$B$1/$B2+C$1,C2)</f>
        <v>-41519.959434623364</v>
      </c>
      <c r="D18" s="1">
        <f>IF($B2&lt;&gt;0,-D2*$B$1/$B2+D$1,D2)</f>
        <v>34083.48667874284</v>
      </c>
      <c r="E18" s="1">
        <f>IF($B2&lt;&gt;0,-E2*$B$1/$B2+E$1,E2)</f>
        <v>0</v>
      </c>
      <c r="F18" s="1">
        <f t="shared" ref="F18:R25" si="25">IF($B2&lt;&gt;0,-F2*$B$1/$B2+F$1,F2)</f>
        <v>6740.1270510769391</v>
      </c>
      <c r="G18" s="1">
        <f t="shared" si="25"/>
        <v>0</v>
      </c>
      <c r="H18" s="1">
        <f t="shared" si="25"/>
        <v>0</v>
      </c>
      <c r="I18" s="1">
        <f t="shared" si="25"/>
        <v>0</v>
      </c>
      <c r="J18" s="1">
        <f t="shared" si="25"/>
        <v>696.34570480358582</v>
      </c>
      <c r="K18" s="1">
        <f t="shared" si="25"/>
        <v>0</v>
      </c>
      <c r="L18" s="1">
        <f t="shared" si="25"/>
        <v>0</v>
      </c>
      <c r="M18" s="1">
        <f t="shared" si="25"/>
        <v>0</v>
      </c>
      <c r="N18" s="1">
        <f t="shared" si="25"/>
        <v>0</v>
      </c>
      <c r="O18" s="1">
        <f t="shared" si="25"/>
        <v>0</v>
      </c>
      <c r="P18" s="1">
        <f t="shared" si="25"/>
        <v>0</v>
      </c>
      <c r="Q18" s="1">
        <f t="shared" si="25"/>
        <v>0</v>
      </c>
      <c r="R18" s="1">
        <f t="shared" si="25"/>
        <v>-4608.0885086803028</v>
      </c>
    </row>
    <row r="19" spans="1:18" x14ac:dyDescent="0.25">
      <c r="B19">
        <f>IF($B3&lt;&gt;0,-B3*$B$1/$B3+B$1,B3)</f>
        <v>0</v>
      </c>
      <c r="C19">
        <f>IF($B3&lt;&gt;0,-C3*$B$1/$B3+C$1,C3)</f>
        <v>0</v>
      </c>
      <c r="D19">
        <f>IF($B3&lt;&gt;0,-D3*$B$1/$B3+D$1,D3)</f>
        <v>-37508</v>
      </c>
      <c r="E19">
        <f>IF($B3&lt;&gt;0,-E3*$B$1/$B3+E$1,E3)</f>
        <v>37508</v>
      </c>
      <c r="F19">
        <f t="shared" si="25"/>
        <v>0</v>
      </c>
      <c r="G19">
        <f t="shared" si="25"/>
        <v>0</v>
      </c>
      <c r="H19">
        <f t="shared" si="25"/>
        <v>0</v>
      </c>
      <c r="I19">
        <f t="shared" si="25"/>
        <v>0</v>
      </c>
      <c r="J19">
        <f t="shared" si="25"/>
        <v>0</v>
      </c>
      <c r="K19">
        <f t="shared" si="25"/>
        <v>0</v>
      </c>
      <c r="L19">
        <f t="shared" si="25"/>
        <v>0</v>
      </c>
      <c r="M19">
        <f t="shared" si="25"/>
        <v>0</v>
      </c>
      <c r="N19">
        <f t="shared" si="25"/>
        <v>0</v>
      </c>
      <c r="O19">
        <f t="shared" si="25"/>
        <v>0</v>
      </c>
      <c r="P19">
        <f t="shared" si="25"/>
        <v>0</v>
      </c>
      <c r="Q19">
        <f t="shared" si="25"/>
        <v>0</v>
      </c>
      <c r="R19">
        <f t="shared" si="25"/>
        <v>0</v>
      </c>
    </row>
    <row r="20" spans="1:18" x14ac:dyDescent="0.25">
      <c r="B20">
        <f>IF($B4&lt;&gt;0,-B4*$B$1/$B4+B$1,B4)</f>
        <v>0</v>
      </c>
      <c r="C20">
        <f>IF($B4&lt;&gt;0,-C4*$B$1/$B4+C$1,C4)</f>
        <v>128296.82129380055</v>
      </c>
      <c r="D20">
        <f>IF($B4&lt;&gt;0,-D4*$B$1/$B4+D$1,D4)</f>
        <v>522462.43557951483</v>
      </c>
      <c r="E20">
        <f>IF($B4&lt;&gt;0,-E4*$B$1/$B4+E$1,E4)</f>
        <v>-1061580.5528301888</v>
      </c>
      <c r="F20">
        <f t="shared" si="25"/>
        <v>65095.720215633424</v>
      </c>
      <c r="G20">
        <f t="shared" si="25"/>
        <v>75530.264420485182</v>
      </c>
      <c r="H20">
        <f t="shared" si="25"/>
        <v>187341.07142857142</v>
      </c>
      <c r="I20">
        <f t="shared" si="25"/>
        <v>0</v>
      </c>
      <c r="J20">
        <f t="shared" si="25"/>
        <v>8285.4239892183286</v>
      </c>
      <c r="K20">
        <f t="shared" si="25"/>
        <v>3619.5708894878708</v>
      </c>
      <c r="L20">
        <f t="shared" si="25"/>
        <v>41653.343126684638</v>
      </c>
      <c r="M20">
        <f t="shared" si="25"/>
        <v>0</v>
      </c>
      <c r="N20">
        <f t="shared" si="25"/>
        <v>29295.901886792453</v>
      </c>
      <c r="O20">
        <f t="shared" si="25"/>
        <v>0</v>
      </c>
      <c r="P20">
        <f t="shared" si="25"/>
        <v>0</v>
      </c>
      <c r="Q20">
        <f t="shared" si="25"/>
        <v>0</v>
      </c>
      <c r="R20">
        <f t="shared" si="25"/>
        <v>-84155.023180592994</v>
      </c>
    </row>
    <row r="21" spans="1:18" x14ac:dyDescent="0.25">
      <c r="B21">
        <f>IF($B5&lt;&gt;0,-B5*$B$1/$B5+B$1,B5)</f>
        <v>0</v>
      </c>
      <c r="C21">
        <f>IF($B5&lt;&gt;0,-C5*$B$1/$B5+C$1,C5)</f>
        <v>0</v>
      </c>
      <c r="D21">
        <f>IF($B5&lt;&gt;0,-D5*$B$1/$B5+D$1,D5)</f>
        <v>0</v>
      </c>
      <c r="E21">
        <f>IF($B5&lt;&gt;0,-E5*$B$1/$B5+E$1,E5)</f>
        <v>0</v>
      </c>
      <c r="F21">
        <f t="shared" si="25"/>
        <v>-12720</v>
      </c>
      <c r="G21">
        <f t="shared" si="25"/>
        <v>12720</v>
      </c>
      <c r="H21">
        <f t="shared" si="25"/>
        <v>0</v>
      </c>
      <c r="I21">
        <f t="shared" si="25"/>
        <v>0</v>
      </c>
      <c r="J21">
        <f t="shared" si="25"/>
        <v>0</v>
      </c>
      <c r="K21">
        <f t="shared" si="25"/>
        <v>0</v>
      </c>
      <c r="L21">
        <f t="shared" si="25"/>
        <v>0</v>
      </c>
      <c r="M21">
        <f t="shared" si="25"/>
        <v>0</v>
      </c>
      <c r="N21">
        <f t="shared" si="25"/>
        <v>0</v>
      </c>
      <c r="O21">
        <f t="shared" si="25"/>
        <v>0</v>
      </c>
      <c r="P21">
        <f t="shared" si="25"/>
        <v>0</v>
      </c>
      <c r="Q21">
        <f t="shared" si="25"/>
        <v>0</v>
      </c>
      <c r="R21">
        <f t="shared" si="25"/>
        <v>0</v>
      </c>
    </row>
    <row r="22" spans="1:18" x14ac:dyDescent="0.25">
      <c r="B22">
        <f>IF($B6&lt;&gt;0,-B6*$B$1/$B6+B$1,B6)</f>
        <v>0</v>
      </c>
      <c r="C22">
        <f>IF($B6&lt;&gt;0,-C6*$B$1/$B6+C$1,C6)</f>
        <v>128586.56728778468</v>
      </c>
      <c r="D22">
        <f>IF($B6&lt;&gt;0,-D6*$B$1/$B6+D$1,D6)</f>
        <v>238927.74327122152</v>
      </c>
      <c r="E22">
        <f>IF($B6&lt;&gt;0,-E6*$B$1/$B6+E$1,E6)</f>
        <v>0</v>
      </c>
      <c r="F22">
        <f t="shared" si="25"/>
        <v>1853862.0807453417</v>
      </c>
      <c r="G22">
        <f t="shared" si="25"/>
        <v>-3370836.0434782607</v>
      </c>
      <c r="H22">
        <f t="shared" si="25"/>
        <v>464171.44306418218</v>
      </c>
      <c r="I22">
        <f t="shared" si="25"/>
        <v>0</v>
      </c>
      <c r="J22">
        <f t="shared" si="25"/>
        <v>362518.54865424428</v>
      </c>
      <c r="K22">
        <f t="shared" si="25"/>
        <v>139229.71221532091</v>
      </c>
      <c r="L22">
        <f t="shared" si="25"/>
        <v>175937.70186335404</v>
      </c>
      <c r="M22">
        <f t="shared" si="25"/>
        <v>0</v>
      </c>
      <c r="N22">
        <f t="shared" si="25"/>
        <v>7602.246376811594</v>
      </c>
      <c r="O22">
        <f t="shared" si="25"/>
        <v>0</v>
      </c>
      <c r="P22">
        <f t="shared" si="25"/>
        <v>0</v>
      </c>
      <c r="Q22">
        <f t="shared" si="25"/>
        <v>0</v>
      </c>
      <c r="R22">
        <f t="shared" si="25"/>
        <v>-571688.92753623193</v>
      </c>
    </row>
    <row r="23" spans="1:18" x14ac:dyDescent="0.25">
      <c r="B23">
        <f>IF($B7&lt;&gt;0,-B7*$B$1/$B7+B$1,B7)</f>
        <v>0</v>
      </c>
      <c r="C23">
        <f>IF($B7&lt;&gt;0,-C7*$B$1/$B7+C$1,C7)</f>
        <v>0</v>
      </c>
      <c r="D23">
        <f>IF($B7&lt;&gt;0,-D7*$B$1/$B7+D$1,D7)</f>
        <v>0</v>
      </c>
      <c r="E23">
        <f>IF($B7&lt;&gt;0,-E7*$B$1/$B7+E$1,E7)</f>
        <v>0</v>
      </c>
      <c r="F23">
        <f t="shared" si="25"/>
        <v>0</v>
      </c>
      <c r="G23">
        <f t="shared" si="25"/>
        <v>0</v>
      </c>
      <c r="H23">
        <f t="shared" si="25"/>
        <v>-12958</v>
      </c>
      <c r="I23">
        <f t="shared" si="25"/>
        <v>12958</v>
      </c>
      <c r="J23">
        <f t="shared" si="25"/>
        <v>0</v>
      </c>
      <c r="K23">
        <f t="shared" si="25"/>
        <v>0</v>
      </c>
      <c r="L23">
        <f t="shared" si="25"/>
        <v>0</v>
      </c>
      <c r="M23">
        <f t="shared" si="25"/>
        <v>0</v>
      </c>
      <c r="N23">
        <f t="shared" si="25"/>
        <v>0</v>
      </c>
      <c r="O23">
        <f t="shared" si="25"/>
        <v>0</v>
      </c>
      <c r="P23">
        <f t="shared" si="25"/>
        <v>0</v>
      </c>
      <c r="Q23">
        <f t="shared" si="25"/>
        <v>0</v>
      </c>
      <c r="R23">
        <f t="shared" si="25"/>
        <v>0</v>
      </c>
    </row>
    <row r="24" spans="1:18" x14ac:dyDescent="0.25">
      <c r="B24">
        <f>IF($B8&lt;&gt;0,-B8*$B$1/$B8+B$1,B8)</f>
        <v>0</v>
      </c>
      <c r="C24">
        <f>IF($B8&lt;&gt;0,-C8*$B$1/$B8+C$1,C8)</f>
        <v>105825.92151162791</v>
      </c>
      <c r="D24">
        <f>IF($B8&lt;&gt;0,-D8*$B$1/$B8+D$1,D8)</f>
        <v>52150.526162790695</v>
      </c>
      <c r="E24">
        <f>IF($B8&lt;&gt;0,-E8*$B$1/$B8+E$1,E8)</f>
        <v>14333.77034883721</v>
      </c>
      <c r="F24">
        <f t="shared" si="25"/>
        <v>232390.06395348837</v>
      </c>
      <c r="G24">
        <f t="shared" si="25"/>
        <v>8234.2936046511622</v>
      </c>
      <c r="H24">
        <f t="shared" si="25"/>
        <v>2096695.1308139535</v>
      </c>
      <c r="I24">
        <f t="shared" si="25"/>
        <v>-3951850.9825581396</v>
      </c>
      <c r="J24">
        <f t="shared" si="25"/>
        <v>100641.36627906977</v>
      </c>
      <c r="K24">
        <f t="shared" si="25"/>
        <v>3659.6860465116279</v>
      </c>
      <c r="L24">
        <f t="shared" si="25"/>
        <v>344620.43604651163</v>
      </c>
      <c r="M24">
        <f t="shared" si="25"/>
        <v>27142.671511627908</v>
      </c>
      <c r="N24">
        <f t="shared" si="25"/>
        <v>265632.21220930235</v>
      </c>
      <c r="O24">
        <f t="shared" si="25"/>
        <v>131443.72383720931</v>
      </c>
      <c r="P24">
        <f t="shared" si="25"/>
        <v>569081.18023255817</v>
      </c>
      <c r="Q24">
        <f t="shared" si="25"/>
        <v>0</v>
      </c>
      <c r="R24">
        <f t="shared" si="25"/>
        <v>-962192.45639534888</v>
      </c>
    </row>
    <row r="25" spans="1:18" x14ac:dyDescent="0.25">
      <c r="B25">
        <f t="shared" ref="B25:R25" si="26">IF($B9&lt;&gt;0,-B9*$B$1/$B9+B$1,B9)</f>
        <v>0</v>
      </c>
      <c r="C25">
        <f t="shared" si="26"/>
        <v>0</v>
      </c>
      <c r="D25">
        <f t="shared" si="26"/>
        <v>0</v>
      </c>
      <c r="E25">
        <f t="shared" si="26"/>
        <v>0</v>
      </c>
      <c r="F25">
        <f t="shared" si="26"/>
        <v>0</v>
      </c>
      <c r="G25">
        <f t="shared" si="26"/>
        <v>0</v>
      </c>
      <c r="H25">
        <f t="shared" si="26"/>
        <v>0</v>
      </c>
      <c r="I25">
        <f t="shared" si="26"/>
        <v>0</v>
      </c>
      <c r="J25">
        <f t="shared" si="26"/>
        <v>-4063</v>
      </c>
      <c r="K25">
        <f t="shared" si="26"/>
        <v>4063</v>
      </c>
      <c r="L25">
        <f t="shared" si="26"/>
        <v>0</v>
      </c>
      <c r="M25">
        <f t="shared" si="26"/>
        <v>0</v>
      </c>
      <c r="N25">
        <f t="shared" si="26"/>
        <v>0</v>
      </c>
      <c r="O25">
        <f t="shared" si="26"/>
        <v>0</v>
      </c>
      <c r="P25">
        <f t="shared" si="26"/>
        <v>0</v>
      </c>
      <c r="Q25">
        <f t="shared" si="26"/>
        <v>0</v>
      </c>
      <c r="R25">
        <f t="shared" si="26"/>
        <v>0</v>
      </c>
    </row>
    <row r="26" spans="1:18" x14ac:dyDescent="0.25">
      <c r="B26">
        <f t="shared" ref="B26:R26" si="27">IF($B10&lt;&gt;0,-B10*$B$1/$B10+B$1,B10)</f>
        <v>0</v>
      </c>
      <c r="C26">
        <f t="shared" si="27"/>
        <v>117437.68656716417</v>
      </c>
      <c r="D26">
        <f t="shared" si="27"/>
        <v>132922.06301824213</v>
      </c>
      <c r="E26">
        <f t="shared" si="27"/>
        <v>0</v>
      </c>
      <c r="F26">
        <f t="shared" si="27"/>
        <v>41233.676616915422</v>
      </c>
      <c r="G26">
        <f t="shared" si="27"/>
        <v>0</v>
      </c>
      <c r="H26">
        <f t="shared" si="27"/>
        <v>0</v>
      </c>
      <c r="I26">
        <f t="shared" si="27"/>
        <v>0</v>
      </c>
      <c r="J26">
        <f t="shared" si="27"/>
        <v>438955.97512437811</v>
      </c>
      <c r="K26">
        <f t="shared" si="27"/>
        <v>-861383.68325041456</v>
      </c>
      <c r="L26">
        <f t="shared" si="27"/>
        <v>130834.28192371476</v>
      </c>
      <c r="M26">
        <f t="shared" si="27"/>
        <v>0</v>
      </c>
      <c r="N26">
        <f t="shared" si="27"/>
        <v>0</v>
      </c>
      <c r="O26">
        <f t="shared" si="27"/>
        <v>0</v>
      </c>
      <c r="P26">
        <f t="shared" si="27"/>
        <v>0</v>
      </c>
      <c r="Q26">
        <f t="shared" si="27"/>
        <v>0</v>
      </c>
      <c r="R26">
        <f t="shared" si="27"/>
        <v>-304120.11276948592</v>
      </c>
    </row>
    <row r="27" spans="1:18" x14ac:dyDescent="0.25">
      <c r="B27">
        <f t="shared" ref="B27:R27" si="28">IF($B11&lt;&gt;0,-B11*$B$1/$B11+B$1,B11)</f>
        <v>0</v>
      </c>
      <c r="C27">
        <f t="shared" si="28"/>
        <v>0</v>
      </c>
      <c r="D27">
        <f t="shared" si="28"/>
        <v>0</v>
      </c>
      <c r="E27">
        <f t="shared" si="28"/>
        <v>0</v>
      </c>
      <c r="F27">
        <f t="shared" si="28"/>
        <v>0</v>
      </c>
      <c r="G27">
        <f t="shared" si="28"/>
        <v>0</v>
      </c>
      <c r="H27">
        <f t="shared" si="28"/>
        <v>0</v>
      </c>
      <c r="I27">
        <f t="shared" si="28"/>
        <v>0</v>
      </c>
      <c r="J27">
        <f t="shared" si="28"/>
        <v>0</v>
      </c>
      <c r="K27">
        <f t="shared" si="28"/>
        <v>0</v>
      </c>
      <c r="L27">
        <f t="shared" si="28"/>
        <v>-5742</v>
      </c>
      <c r="M27">
        <f t="shared" si="28"/>
        <v>5742</v>
      </c>
      <c r="N27">
        <f t="shared" si="28"/>
        <v>0</v>
      </c>
      <c r="O27">
        <f t="shared" si="28"/>
        <v>0</v>
      </c>
      <c r="P27">
        <f t="shared" si="28"/>
        <v>0</v>
      </c>
      <c r="Q27">
        <f t="shared" si="28"/>
        <v>0</v>
      </c>
      <c r="R27">
        <f t="shared" si="28"/>
        <v>0</v>
      </c>
    </row>
    <row r="28" spans="1:18" x14ac:dyDescent="0.25">
      <c r="B28">
        <f t="shared" ref="B28:R28" si="29">IF($B12&lt;&gt;0,-B12*$B$1/$B12+B$1,B12)</f>
        <v>0</v>
      </c>
      <c r="C28">
        <f t="shared" si="29"/>
        <v>108832.90654205608</v>
      </c>
      <c r="D28">
        <f t="shared" si="29"/>
        <v>242667.96728971961</v>
      </c>
      <c r="E28">
        <f t="shared" si="29"/>
        <v>11765.719626168224</v>
      </c>
      <c r="F28">
        <f t="shared" si="29"/>
        <v>126481.4859813084</v>
      </c>
      <c r="G28">
        <f t="shared" si="29"/>
        <v>49023.831775700935</v>
      </c>
      <c r="H28">
        <f t="shared" si="29"/>
        <v>335813.24766355142</v>
      </c>
      <c r="I28">
        <f t="shared" si="29"/>
        <v>0</v>
      </c>
      <c r="J28">
        <f t="shared" si="29"/>
        <v>128442.43925233645</v>
      </c>
      <c r="K28">
        <f t="shared" si="29"/>
        <v>21080.247663551403</v>
      </c>
      <c r="L28">
        <f t="shared" si="29"/>
        <v>1268246.5280373832</v>
      </c>
      <c r="M28">
        <f t="shared" si="29"/>
        <v>-2860050.3457943927</v>
      </c>
      <c r="N28">
        <f t="shared" si="29"/>
        <v>110793.85981308411</v>
      </c>
      <c r="O28">
        <f t="shared" si="29"/>
        <v>219136.52803738319</v>
      </c>
      <c r="P28">
        <f t="shared" si="29"/>
        <v>237765.58411214955</v>
      </c>
      <c r="Q28">
        <f t="shared" si="29"/>
        <v>0</v>
      </c>
      <c r="R28">
        <f t="shared" si="29"/>
        <v>-1258441.7616822431</v>
      </c>
    </row>
    <row r="29" spans="1:18" x14ac:dyDescent="0.25">
      <c r="B29">
        <f t="shared" ref="B29:R29" si="30">IF($B13&lt;&gt;0,-B13*$B$1/$B13+B$1,B13)</f>
        <v>0</v>
      </c>
      <c r="C29">
        <f t="shared" si="30"/>
        <v>0</v>
      </c>
      <c r="D29">
        <f t="shared" si="30"/>
        <v>0</v>
      </c>
      <c r="E29">
        <f t="shared" si="30"/>
        <v>0</v>
      </c>
      <c r="F29">
        <f t="shared" si="30"/>
        <v>0</v>
      </c>
      <c r="G29">
        <f t="shared" si="30"/>
        <v>0</v>
      </c>
      <c r="H29">
        <f t="shared" si="30"/>
        <v>0</v>
      </c>
      <c r="I29">
        <f t="shared" si="30"/>
        <v>0</v>
      </c>
      <c r="J29">
        <f t="shared" si="30"/>
        <v>0</v>
      </c>
      <c r="K29">
        <f t="shared" si="30"/>
        <v>0</v>
      </c>
      <c r="L29">
        <f t="shared" si="30"/>
        <v>0</v>
      </c>
      <c r="M29">
        <f t="shared" si="30"/>
        <v>0</v>
      </c>
      <c r="N29">
        <f t="shared" si="30"/>
        <v>-3167</v>
      </c>
      <c r="O29">
        <f t="shared" si="30"/>
        <v>3167</v>
      </c>
      <c r="P29">
        <f t="shared" si="30"/>
        <v>0</v>
      </c>
      <c r="Q29">
        <f t="shared" si="30"/>
        <v>0</v>
      </c>
      <c r="R29">
        <f t="shared" si="30"/>
        <v>0</v>
      </c>
    </row>
    <row r="30" spans="1:18" x14ac:dyDescent="0.25">
      <c r="B30">
        <f t="shared" ref="B30:R30" si="31">IF($B14&lt;&gt;0,-B14*$B$1/$B14+B$1,B14)</f>
        <v>0</v>
      </c>
      <c r="C30">
        <f t="shared" si="31"/>
        <v>106909.30476190476</v>
      </c>
      <c r="D30">
        <f t="shared" si="31"/>
        <v>246790.6380952381</v>
      </c>
      <c r="E30">
        <f t="shared" si="31"/>
        <v>0</v>
      </c>
      <c r="F30">
        <f t="shared" si="31"/>
        <v>404656.71428571426</v>
      </c>
      <c r="G30">
        <f t="shared" si="31"/>
        <v>11989.828571428572</v>
      </c>
      <c r="H30">
        <f t="shared" si="31"/>
        <v>37967.790476190479</v>
      </c>
      <c r="I30">
        <f t="shared" si="31"/>
        <v>0</v>
      </c>
      <c r="J30">
        <f t="shared" si="31"/>
        <v>325723.67619047617</v>
      </c>
      <c r="K30">
        <f t="shared" si="31"/>
        <v>74936.428571428565</v>
      </c>
      <c r="L30">
        <f t="shared" si="31"/>
        <v>284758.42857142858</v>
      </c>
      <c r="M30">
        <f t="shared" si="31"/>
        <v>0</v>
      </c>
      <c r="N30">
        <f t="shared" si="31"/>
        <v>1907381.8952380952</v>
      </c>
      <c r="O30">
        <f t="shared" si="31"/>
        <v>-4125500.1809523809</v>
      </c>
      <c r="P30">
        <f t="shared" si="31"/>
        <v>724385.47619047621</v>
      </c>
      <c r="Q30">
        <f t="shared" si="31"/>
        <v>0</v>
      </c>
      <c r="R30">
        <f t="shared" si="31"/>
        <v>-2050260.6857142858</v>
      </c>
    </row>
    <row r="31" spans="1:18" x14ac:dyDescent="0.25">
      <c r="B31">
        <f t="shared" ref="B31:R31" si="32">IF($B15&lt;&gt;0,-B15*$B$1/$B15+B$1,B15)</f>
        <v>0</v>
      </c>
      <c r="C31">
        <f t="shared" si="32"/>
        <v>0</v>
      </c>
      <c r="D31">
        <f t="shared" si="32"/>
        <v>0</v>
      </c>
      <c r="E31">
        <f t="shared" si="32"/>
        <v>0</v>
      </c>
      <c r="F31">
        <f t="shared" si="32"/>
        <v>0</v>
      </c>
      <c r="G31">
        <f t="shared" si="32"/>
        <v>0</v>
      </c>
      <c r="H31">
        <f t="shared" si="32"/>
        <v>0</v>
      </c>
      <c r="I31">
        <f t="shared" si="32"/>
        <v>0</v>
      </c>
      <c r="J31">
        <f t="shared" si="32"/>
        <v>0</v>
      </c>
      <c r="K31">
        <f t="shared" si="32"/>
        <v>0</v>
      </c>
      <c r="L31">
        <f t="shared" si="32"/>
        <v>0</v>
      </c>
      <c r="M31">
        <f t="shared" si="32"/>
        <v>0</v>
      </c>
      <c r="N31">
        <f t="shared" si="32"/>
        <v>0</v>
      </c>
      <c r="O31">
        <f t="shared" si="32"/>
        <v>0</v>
      </c>
      <c r="P31">
        <f t="shared" si="32"/>
        <v>-4508</v>
      </c>
      <c r="Q31">
        <f t="shared" si="32"/>
        <v>4508</v>
      </c>
      <c r="R31">
        <f t="shared" si="32"/>
        <v>0</v>
      </c>
    </row>
    <row r="32" spans="1:18" x14ac:dyDescent="0.25">
      <c r="B32">
        <f t="shared" ref="B32:R32" si="33">IF($B16&lt;&gt;0,-B16*$B$1/$B16+B$1,B16)</f>
        <v>0</v>
      </c>
      <c r="C32">
        <f t="shared" si="33"/>
        <v>105619.85810810811</v>
      </c>
      <c r="D32">
        <f t="shared" si="33"/>
        <v>16303.736486486487</v>
      </c>
      <c r="E32">
        <f t="shared" si="33"/>
        <v>0</v>
      </c>
      <c r="F32">
        <f t="shared" si="33"/>
        <v>62379.513513513513</v>
      </c>
      <c r="G32">
        <f t="shared" si="33"/>
        <v>0</v>
      </c>
      <c r="H32">
        <f t="shared" si="33"/>
        <v>275745.80405405408</v>
      </c>
      <c r="I32">
        <f t="shared" si="33"/>
        <v>2126.5743243243242</v>
      </c>
      <c r="J32">
        <f t="shared" si="33"/>
        <v>59544.08108108108</v>
      </c>
      <c r="K32">
        <f t="shared" si="33"/>
        <v>1417.7162162162163</v>
      </c>
      <c r="L32">
        <f t="shared" si="33"/>
        <v>255897.77702702704</v>
      </c>
      <c r="M32">
        <f t="shared" si="33"/>
        <v>2835.4324324324325</v>
      </c>
      <c r="N32">
        <f t="shared" si="33"/>
        <v>284252.10135135136</v>
      </c>
      <c r="O32">
        <f t="shared" si="33"/>
        <v>60961.7972972973</v>
      </c>
      <c r="P32">
        <f t="shared" si="33"/>
        <v>2068447.9594594594</v>
      </c>
      <c r="Q32">
        <f t="shared" si="33"/>
        <v>-3195532.3513513515</v>
      </c>
      <c r="R32">
        <f t="shared" si="33"/>
        <v>-2254877.6418918921</v>
      </c>
    </row>
    <row r="34" spans="1:18" x14ac:dyDescent="0.25">
      <c r="A34" s="2" t="s">
        <v>21</v>
      </c>
      <c r="C34" s="1">
        <f>IF($C19&lt;&gt;0,-C19*$C$18/$C19+C$18,C19)</f>
        <v>0</v>
      </c>
      <c r="D34" s="1">
        <f t="shared" ref="D34:R47" si="34">IF($C19&lt;&gt;0,-D19*$C$18/$C19+D$18,D19)</f>
        <v>-37508</v>
      </c>
      <c r="E34" s="1">
        <f t="shared" si="34"/>
        <v>37508</v>
      </c>
      <c r="F34" s="1">
        <f t="shared" si="34"/>
        <v>0</v>
      </c>
      <c r="G34" s="1">
        <f t="shared" si="34"/>
        <v>0</v>
      </c>
      <c r="H34" s="1">
        <f t="shared" si="34"/>
        <v>0</v>
      </c>
      <c r="I34" s="1">
        <f t="shared" si="34"/>
        <v>0</v>
      </c>
      <c r="J34" s="1">
        <f t="shared" si="34"/>
        <v>0</v>
      </c>
      <c r="K34" s="1">
        <f t="shared" si="34"/>
        <v>0</v>
      </c>
      <c r="L34" s="1">
        <f t="shared" si="34"/>
        <v>0</v>
      </c>
      <c r="M34" s="1">
        <f t="shared" si="34"/>
        <v>0</v>
      </c>
      <c r="N34" s="1">
        <f t="shared" si="34"/>
        <v>0</v>
      </c>
      <c r="O34" s="1">
        <f t="shared" si="34"/>
        <v>0</v>
      </c>
      <c r="P34" s="1">
        <f t="shared" si="34"/>
        <v>0</v>
      </c>
      <c r="Q34" s="1">
        <f t="shared" si="34"/>
        <v>0</v>
      </c>
      <c r="R34" s="1">
        <f t="shared" si="34"/>
        <v>0</v>
      </c>
    </row>
    <row r="35" spans="1:18" x14ac:dyDescent="0.25">
      <c r="C35">
        <f>IF($C20&lt;&gt;0,-C20*$C$18/$C20+C$18,C20)</f>
        <v>0</v>
      </c>
      <c r="D35">
        <f t="shared" si="34"/>
        <v>203164.98778390069</v>
      </c>
      <c r="E35">
        <f t="shared" si="34"/>
        <v>-343553.18429252715</v>
      </c>
      <c r="F35">
        <f t="shared" si="34"/>
        <v>27806.679093947332</v>
      </c>
      <c r="G35">
        <f t="shared" si="34"/>
        <v>24443.423330367867</v>
      </c>
      <c r="H35">
        <f t="shared" si="34"/>
        <v>60628.109158999287</v>
      </c>
      <c r="I35">
        <f t="shared" si="34"/>
        <v>0</v>
      </c>
      <c r="J35">
        <f t="shared" si="34"/>
        <v>3377.7096268544219</v>
      </c>
      <c r="K35">
        <f t="shared" si="34"/>
        <v>1171.3808260153826</v>
      </c>
      <c r="L35">
        <f t="shared" si="34"/>
        <v>13480.030911880145</v>
      </c>
      <c r="M35">
        <f t="shared" si="34"/>
        <v>0</v>
      </c>
      <c r="N35">
        <f t="shared" si="34"/>
        <v>9480.8635605620038</v>
      </c>
      <c r="O35">
        <f t="shared" si="34"/>
        <v>0</v>
      </c>
      <c r="P35">
        <f t="shared" si="34"/>
        <v>0</v>
      </c>
      <c r="Q35">
        <f t="shared" si="34"/>
        <v>0</v>
      </c>
      <c r="R35">
        <f t="shared" si="34"/>
        <v>-31842.692713537945</v>
      </c>
    </row>
    <row r="36" spans="1:18" x14ac:dyDescent="0.25">
      <c r="C36">
        <f>IF($C21&lt;&gt;0,-C21*$C$18/$C21+C$18,C21)</f>
        <v>0</v>
      </c>
      <c r="D36">
        <f t="shared" si="34"/>
        <v>0</v>
      </c>
      <c r="E36">
        <f t="shared" si="34"/>
        <v>0</v>
      </c>
      <c r="F36">
        <f t="shared" si="34"/>
        <v>-12720</v>
      </c>
      <c r="G36">
        <f t="shared" si="34"/>
        <v>12720</v>
      </c>
      <c r="H36">
        <f t="shared" si="34"/>
        <v>0</v>
      </c>
      <c r="I36">
        <f t="shared" si="34"/>
        <v>0</v>
      </c>
      <c r="J36">
        <f t="shared" si="34"/>
        <v>0</v>
      </c>
      <c r="K36">
        <f t="shared" si="34"/>
        <v>0</v>
      </c>
      <c r="L36">
        <f t="shared" si="34"/>
        <v>0</v>
      </c>
      <c r="M36">
        <f t="shared" si="34"/>
        <v>0</v>
      </c>
      <c r="N36">
        <f t="shared" si="34"/>
        <v>0</v>
      </c>
      <c r="O36">
        <f t="shared" si="34"/>
        <v>0</v>
      </c>
      <c r="P36">
        <f t="shared" si="34"/>
        <v>0</v>
      </c>
      <c r="Q36">
        <f t="shared" si="34"/>
        <v>0</v>
      </c>
      <c r="R36">
        <f t="shared" si="34"/>
        <v>0</v>
      </c>
    </row>
    <row r="37" spans="1:18" x14ac:dyDescent="0.25">
      <c r="C37">
        <f>IF($C22&lt;&gt;0,-C22*$C$18/$C22+C$18,C22)</f>
        <v>0</v>
      </c>
      <c r="D37">
        <f t="shared" si="34"/>
        <v>111232.05995253625</v>
      </c>
      <c r="E37">
        <f t="shared" si="34"/>
        <v>0</v>
      </c>
      <c r="F37">
        <f t="shared" si="34"/>
        <v>605342.92058910138</v>
      </c>
      <c r="G37">
        <f t="shared" si="34"/>
        <v>-1088426.09876</v>
      </c>
      <c r="H37">
        <f t="shared" si="34"/>
        <v>149878.63735099684</v>
      </c>
      <c r="I37">
        <f t="shared" si="34"/>
        <v>0</v>
      </c>
      <c r="J37">
        <f t="shared" si="34"/>
        <v>117751.77188113195</v>
      </c>
      <c r="K37">
        <f t="shared" si="34"/>
        <v>44956.577698637797</v>
      </c>
      <c r="L37">
        <f t="shared" si="34"/>
        <v>56809.403956156973</v>
      </c>
      <c r="M37">
        <f t="shared" si="34"/>
        <v>0</v>
      </c>
      <c r="N37">
        <f t="shared" si="34"/>
        <v>2454.7273314388813</v>
      </c>
      <c r="O37">
        <f t="shared" si="34"/>
        <v>0</v>
      </c>
      <c r="P37">
        <f t="shared" si="34"/>
        <v>0</v>
      </c>
      <c r="Q37">
        <f t="shared" si="34"/>
        <v>0</v>
      </c>
      <c r="R37">
        <f t="shared" si="34"/>
        <v>-189203.58383288421</v>
      </c>
    </row>
    <row r="38" spans="1:18" x14ac:dyDescent="0.25">
      <c r="C38">
        <f>IF($C23&lt;&gt;0,-C23*$C$18/$C23+C$18,C23)</f>
        <v>0</v>
      </c>
      <c r="D38">
        <f t="shared" si="34"/>
        <v>0</v>
      </c>
      <c r="E38">
        <f t="shared" si="34"/>
        <v>0</v>
      </c>
      <c r="F38">
        <f t="shared" si="34"/>
        <v>0</v>
      </c>
      <c r="G38">
        <f t="shared" si="34"/>
        <v>0</v>
      </c>
      <c r="H38">
        <f t="shared" si="34"/>
        <v>-12958</v>
      </c>
      <c r="I38">
        <f t="shared" si="34"/>
        <v>12958</v>
      </c>
      <c r="J38">
        <f t="shared" si="34"/>
        <v>0</v>
      </c>
      <c r="K38">
        <f t="shared" si="34"/>
        <v>0</v>
      </c>
      <c r="L38">
        <f t="shared" si="34"/>
        <v>0</v>
      </c>
      <c r="M38">
        <f t="shared" si="34"/>
        <v>0</v>
      </c>
      <c r="N38">
        <f t="shared" si="34"/>
        <v>0</v>
      </c>
      <c r="O38">
        <f t="shared" si="34"/>
        <v>0</v>
      </c>
      <c r="P38">
        <f t="shared" si="34"/>
        <v>0</v>
      </c>
      <c r="Q38">
        <f t="shared" si="34"/>
        <v>0</v>
      </c>
      <c r="R38">
        <f t="shared" si="34"/>
        <v>0</v>
      </c>
    </row>
    <row r="39" spans="1:18" x14ac:dyDescent="0.25">
      <c r="C39">
        <f>IF($C24&lt;&gt;0,-C24*$C$18/$C24+C$18,C24)</f>
        <v>0</v>
      </c>
      <c r="D39">
        <f t="shared" si="34"/>
        <v>54544.331241626394</v>
      </c>
      <c r="E39">
        <f t="shared" si="34"/>
        <v>5623.7409032486976</v>
      </c>
      <c r="F39">
        <f t="shared" si="34"/>
        <v>97916.522120768583</v>
      </c>
      <c r="G39">
        <f t="shared" si="34"/>
        <v>3230.6596678237202</v>
      </c>
      <c r="H39">
        <f t="shared" si="34"/>
        <v>822621.67467733612</v>
      </c>
      <c r="I39">
        <f t="shared" si="34"/>
        <v>-1550477.3324318433</v>
      </c>
      <c r="J39">
        <f t="shared" si="34"/>
        <v>40182.186089315721</v>
      </c>
      <c r="K39">
        <f t="shared" si="34"/>
        <v>1435.8487412549866</v>
      </c>
      <c r="L39">
        <f t="shared" si="34"/>
        <v>135209.08980151123</v>
      </c>
      <c r="M39">
        <f t="shared" si="34"/>
        <v>10649.21149764115</v>
      </c>
      <c r="N39">
        <f t="shared" si="34"/>
        <v>104218.68780275779</v>
      </c>
      <c r="O39">
        <f t="shared" si="34"/>
        <v>51570.900623408277</v>
      </c>
      <c r="P39">
        <f t="shared" si="34"/>
        <v>223274.47926515041</v>
      </c>
      <c r="Q39">
        <f t="shared" si="34"/>
        <v>0</v>
      </c>
      <c r="R39">
        <f t="shared" si="34"/>
        <v>-382116.65339697053</v>
      </c>
    </row>
    <row r="40" spans="1:18" x14ac:dyDescent="0.25">
      <c r="C40">
        <f>IF($C25&lt;&gt;0,-C25*$C$18/$C25+C$18,C25)</f>
        <v>0</v>
      </c>
      <c r="D40">
        <f t="shared" si="34"/>
        <v>0</v>
      </c>
      <c r="E40">
        <f t="shared" si="34"/>
        <v>0</v>
      </c>
      <c r="F40">
        <f t="shared" si="34"/>
        <v>0</v>
      </c>
      <c r="G40">
        <f t="shared" si="34"/>
        <v>0</v>
      </c>
      <c r="H40">
        <f t="shared" si="34"/>
        <v>0</v>
      </c>
      <c r="I40">
        <f t="shared" si="34"/>
        <v>0</v>
      </c>
      <c r="J40">
        <f t="shared" si="34"/>
        <v>-4063</v>
      </c>
      <c r="K40">
        <f t="shared" si="34"/>
        <v>4063</v>
      </c>
      <c r="L40">
        <f t="shared" si="34"/>
        <v>0</v>
      </c>
      <c r="M40">
        <f t="shared" si="34"/>
        <v>0</v>
      </c>
      <c r="N40">
        <f t="shared" si="34"/>
        <v>0</v>
      </c>
      <c r="O40">
        <f t="shared" si="34"/>
        <v>0</v>
      </c>
      <c r="P40">
        <f t="shared" si="34"/>
        <v>0</v>
      </c>
      <c r="Q40">
        <f t="shared" si="34"/>
        <v>0</v>
      </c>
      <c r="R40">
        <f t="shared" si="34"/>
        <v>0</v>
      </c>
    </row>
    <row r="41" spans="1:18" x14ac:dyDescent="0.25">
      <c r="C41">
        <f>IF($C26&lt;&gt;0,-C26*$C$18/$C26+C$18,C26)</f>
        <v>0</v>
      </c>
      <c r="D41">
        <f t="shared" si="34"/>
        <v>81077.929653635074</v>
      </c>
      <c r="E41">
        <f t="shared" si="34"/>
        <v>0</v>
      </c>
      <c r="F41">
        <f t="shared" si="34"/>
        <v>21318.246141455809</v>
      </c>
      <c r="G41">
        <f t="shared" si="34"/>
        <v>0</v>
      </c>
      <c r="H41">
        <f t="shared" si="34"/>
        <v>0</v>
      </c>
      <c r="I41">
        <f t="shared" si="34"/>
        <v>0</v>
      </c>
      <c r="J41">
        <f t="shared" si="34"/>
        <v>155888.72741377359</v>
      </c>
      <c r="K41">
        <f t="shared" si="34"/>
        <v>-304541.2135715856</v>
      </c>
      <c r="L41">
        <f t="shared" si="34"/>
        <v>46256.310362721139</v>
      </c>
      <c r="M41">
        <f t="shared" si="34"/>
        <v>0</v>
      </c>
      <c r="N41">
        <f t="shared" si="34"/>
        <v>0</v>
      </c>
      <c r="O41">
        <f t="shared" si="34"/>
        <v>0</v>
      </c>
      <c r="P41">
        <f t="shared" si="34"/>
        <v>0</v>
      </c>
      <c r="Q41">
        <f t="shared" si="34"/>
        <v>0</v>
      </c>
      <c r="R41">
        <f t="shared" si="34"/>
        <v>-112129.40568160126</v>
      </c>
    </row>
    <row r="42" spans="1:18" x14ac:dyDescent="0.25">
      <c r="C42">
        <f>IF($C27&lt;&gt;0,-C27*$C$18/$C27+C$18,C27)</f>
        <v>0</v>
      </c>
      <c r="D42">
        <f t="shared" si="34"/>
        <v>0</v>
      </c>
      <c r="E42">
        <f t="shared" si="34"/>
        <v>0</v>
      </c>
      <c r="F42">
        <f t="shared" si="34"/>
        <v>0</v>
      </c>
      <c r="G42">
        <f t="shared" si="34"/>
        <v>0</v>
      </c>
      <c r="H42">
        <f t="shared" si="34"/>
        <v>0</v>
      </c>
      <c r="I42">
        <f t="shared" si="34"/>
        <v>0</v>
      </c>
      <c r="J42">
        <f t="shared" si="34"/>
        <v>0</v>
      </c>
      <c r="K42">
        <f t="shared" si="34"/>
        <v>0</v>
      </c>
      <c r="L42">
        <f t="shared" si="34"/>
        <v>-5742</v>
      </c>
      <c r="M42">
        <f t="shared" si="34"/>
        <v>5742</v>
      </c>
      <c r="N42">
        <f t="shared" si="34"/>
        <v>0</v>
      </c>
      <c r="O42">
        <f t="shared" si="34"/>
        <v>0</v>
      </c>
      <c r="P42">
        <f t="shared" si="34"/>
        <v>0</v>
      </c>
      <c r="Q42">
        <f t="shared" si="34"/>
        <v>0</v>
      </c>
      <c r="R42">
        <f t="shared" si="34"/>
        <v>0</v>
      </c>
    </row>
    <row r="43" spans="1:18" x14ac:dyDescent="0.25">
      <c r="C43">
        <f>IF($C28&lt;&gt;0,-C28*$C$18/$C28+C$18,C28)</f>
        <v>0</v>
      </c>
      <c r="D43">
        <f t="shared" si="34"/>
        <v>126661.77460729494</v>
      </c>
      <c r="E43">
        <f t="shared" si="34"/>
        <v>4488.6442632025255</v>
      </c>
      <c r="F43">
        <f t="shared" si="34"/>
        <v>54993.052880504089</v>
      </c>
      <c r="G43">
        <f t="shared" si="34"/>
        <v>18702.684430010526</v>
      </c>
      <c r="H43">
        <f t="shared" si="34"/>
        <v>128113.38834557209</v>
      </c>
      <c r="I43">
        <f t="shared" si="34"/>
        <v>0</v>
      </c>
      <c r="J43">
        <f t="shared" si="34"/>
        <v>49697.378911431158</v>
      </c>
      <c r="K43">
        <f t="shared" si="34"/>
        <v>8042.1543049045258</v>
      </c>
      <c r="L43">
        <f t="shared" si="34"/>
        <v>483838.44620437227</v>
      </c>
      <c r="M43">
        <f t="shared" si="34"/>
        <v>-1091114.6096468139</v>
      </c>
      <c r="N43">
        <f t="shared" si="34"/>
        <v>42268.066811823788</v>
      </c>
      <c r="O43">
        <f t="shared" si="34"/>
        <v>83600.999402147048</v>
      </c>
      <c r="P43">
        <f t="shared" si="34"/>
        <v>90708.019485551034</v>
      </c>
      <c r="Q43">
        <f t="shared" si="34"/>
        <v>0</v>
      </c>
      <c r="R43">
        <f t="shared" si="34"/>
        <v>-484705.99782705051</v>
      </c>
    </row>
    <row r="44" spans="1:18" x14ac:dyDescent="0.25">
      <c r="C44">
        <f>IF($C29&lt;&gt;0,-C29*$C$18/$C29+C$18,C29)</f>
        <v>0</v>
      </c>
      <c r="D44">
        <f t="shared" si="34"/>
        <v>0</v>
      </c>
      <c r="E44">
        <f t="shared" si="34"/>
        <v>0</v>
      </c>
      <c r="F44">
        <f t="shared" si="34"/>
        <v>0</v>
      </c>
      <c r="G44">
        <f t="shared" si="34"/>
        <v>0</v>
      </c>
      <c r="H44">
        <f t="shared" si="34"/>
        <v>0</v>
      </c>
      <c r="I44">
        <f t="shared" si="34"/>
        <v>0</v>
      </c>
      <c r="J44">
        <f t="shared" si="34"/>
        <v>0</v>
      </c>
      <c r="K44">
        <f t="shared" si="34"/>
        <v>0</v>
      </c>
      <c r="L44">
        <f t="shared" si="34"/>
        <v>0</v>
      </c>
      <c r="M44">
        <f t="shared" si="34"/>
        <v>0</v>
      </c>
      <c r="N44">
        <f t="shared" si="34"/>
        <v>-3167</v>
      </c>
      <c r="O44">
        <f t="shared" si="34"/>
        <v>3167</v>
      </c>
      <c r="P44">
        <f t="shared" si="34"/>
        <v>0</v>
      </c>
      <c r="Q44">
        <f t="shared" si="34"/>
        <v>0</v>
      </c>
      <c r="R44">
        <f t="shared" si="34"/>
        <v>0</v>
      </c>
    </row>
    <row r="45" spans="1:18" x14ac:dyDescent="0.25">
      <c r="C45">
        <f>IF($C30&lt;&gt;0,-C30*$C$18/$C30+C$18,C30)</f>
        <v>0</v>
      </c>
      <c r="D45">
        <f t="shared" si="34"/>
        <v>129928.62668203228</v>
      </c>
      <c r="E45">
        <f t="shared" si="34"/>
        <v>0</v>
      </c>
      <c r="F45">
        <f t="shared" si="34"/>
        <v>163895.1136961467</v>
      </c>
      <c r="G45">
        <f t="shared" si="34"/>
        <v>4656.4440487428074</v>
      </c>
      <c r="H45">
        <f t="shared" si="34"/>
        <v>14745.406154352224</v>
      </c>
      <c r="I45">
        <f t="shared" si="34"/>
        <v>0</v>
      </c>
      <c r="J45">
        <f t="shared" si="34"/>
        <v>127196.40902898318</v>
      </c>
      <c r="K45">
        <f t="shared" si="34"/>
        <v>29102.775304642542</v>
      </c>
      <c r="L45">
        <f t="shared" si="34"/>
        <v>110590.54615764169</v>
      </c>
      <c r="M45">
        <f t="shared" si="34"/>
        <v>0</v>
      </c>
      <c r="N45">
        <f t="shared" si="34"/>
        <v>740762.64075416827</v>
      </c>
      <c r="O45">
        <f t="shared" si="34"/>
        <v>-1602204.7897715876</v>
      </c>
      <c r="P45">
        <f t="shared" si="34"/>
        <v>281326.82794487796</v>
      </c>
      <c r="Q45">
        <f t="shared" si="34"/>
        <v>0</v>
      </c>
      <c r="R45">
        <f t="shared" si="34"/>
        <v>-800860.02084370039</v>
      </c>
    </row>
    <row r="46" spans="1:18" x14ac:dyDescent="0.25">
      <c r="C46">
        <f>IF($C31&lt;&gt;0,-C31*$C$18/$C31+C$18,C31)</f>
        <v>0</v>
      </c>
      <c r="D46">
        <f t="shared" si="34"/>
        <v>0</v>
      </c>
      <c r="E46">
        <f t="shared" si="34"/>
        <v>0</v>
      </c>
      <c r="F46">
        <f t="shared" si="34"/>
        <v>0</v>
      </c>
      <c r="G46">
        <f t="shared" si="34"/>
        <v>0</v>
      </c>
      <c r="H46">
        <f t="shared" si="34"/>
        <v>0</v>
      </c>
      <c r="I46">
        <f t="shared" si="34"/>
        <v>0</v>
      </c>
      <c r="J46">
        <f t="shared" si="34"/>
        <v>0</v>
      </c>
      <c r="K46">
        <f t="shared" si="34"/>
        <v>0</v>
      </c>
      <c r="L46">
        <f t="shared" si="34"/>
        <v>0</v>
      </c>
      <c r="M46">
        <f t="shared" si="34"/>
        <v>0</v>
      </c>
      <c r="N46">
        <f t="shared" si="34"/>
        <v>0</v>
      </c>
      <c r="O46">
        <f t="shared" si="34"/>
        <v>0</v>
      </c>
      <c r="P46">
        <f t="shared" si="34"/>
        <v>-4508</v>
      </c>
      <c r="Q46">
        <f t="shared" si="34"/>
        <v>4508</v>
      </c>
      <c r="R46">
        <f t="shared" si="34"/>
        <v>0</v>
      </c>
    </row>
    <row r="47" spans="1:18" x14ac:dyDescent="0.25">
      <c r="C47">
        <f>IF($C32&lt;&gt;0,-C32*$C$18/$C32+C$18,C32)</f>
        <v>0</v>
      </c>
      <c r="D47">
        <f t="shared" si="34"/>
        <v>40492.607933751817</v>
      </c>
      <c r="E47">
        <f t="shared" si="34"/>
        <v>0</v>
      </c>
      <c r="F47">
        <f t="shared" si="34"/>
        <v>31261.982287633018</v>
      </c>
      <c r="G47">
        <f t="shared" si="34"/>
        <v>0</v>
      </c>
      <c r="H47">
        <f t="shared" si="34"/>
        <v>108397.74644341269</v>
      </c>
      <c r="I47">
        <f t="shared" si="34"/>
        <v>835.97233760986637</v>
      </c>
      <c r="J47">
        <f t="shared" si="34"/>
        <v>24103.571157879847</v>
      </c>
      <c r="K47">
        <f t="shared" si="34"/>
        <v>557.31489173991099</v>
      </c>
      <c r="L47">
        <f t="shared" si="34"/>
        <v>100595.33795905394</v>
      </c>
      <c r="M47">
        <f t="shared" si="34"/>
        <v>1114.629783479822</v>
      </c>
      <c r="N47">
        <f t="shared" si="34"/>
        <v>111741.63579385215</v>
      </c>
      <c r="O47">
        <f t="shared" si="34"/>
        <v>23964.540344816171</v>
      </c>
      <c r="P47">
        <f t="shared" si="34"/>
        <v>813122.42704853008</v>
      </c>
      <c r="Q47">
        <f t="shared" si="34"/>
        <v>-1256187.7659817594</v>
      </c>
      <c r="R47">
        <f t="shared" si="34"/>
        <v>-891017.42382100876</v>
      </c>
    </row>
    <row r="49" spans="1:18" x14ac:dyDescent="0.25">
      <c r="A49" s="2" t="s">
        <v>22</v>
      </c>
      <c r="D49" s="1">
        <f>IF($D35&lt;&gt;0,-D35*$D$34/$D35+D$34,D35)</f>
        <v>0</v>
      </c>
      <c r="E49" s="1">
        <f t="shared" ref="E49:R49" si="35">IF($D35&lt;&gt;0,-E35*$D$34/$D35+E$34,E35)</f>
        <v>-25918.247686685449</v>
      </c>
      <c r="F49" s="1">
        <f t="shared" si="35"/>
        <v>5133.6252906192158</v>
      </c>
      <c r="G49" s="1">
        <f t="shared" si="35"/>
        <v>4512.7063096650818</v>
      </c>
      <c r="H49" s="1">
        <f t="shared" si="35"/>
        <v>11193.066005814737</v>
      </c>
      <c r="I49" s="1">
        <f t="shared" si="35"/>
        <v>0</v>
      </c>
      <c r="J49" s="1">
        <f t="shared" si="35"/>
        <v>623.5874304228663</v>
      </c>
      <c r="K49" s="1">
        <f t="shared" si="35"/>
        <v>216.25848282932625</v>
      </c>
      <c r="L49" s="1">
        <f t="shared" si="35"/>
        <v>2488.6620719343559</v>
      </c>
      <c r="M49" s="1">
        <f t="shared" si="35"/>
        <v>0</v>
      </c>
      <c r="N49" s="1">
        <f t="shared" si="35"/>
        <v>1750.3420953998598</v>
      </c>
      <c r="O49" s="1">
        <f t="shared" si="35"/>
        <v>0</v>
      </c>
      <c r="P49" s="1">
        <f t="shared" si="35"/>
        <v>0</v>
      </c>
      <c r="Q49" s="1">
        <f t="shared" si="35"/>
        <v>0</v>
      </c>
      <c r="R49" s="1">
        <f t="shared" si="35"/>
        <v>-5878.7477671584566</v>
      </c>
    </row>
    <row r="50" spans="1:18" x14ac:dyDescent="0.25">
      <c r="D50">
        <f t="shared" ref="D50:R50" si="36">IF($D36&lt;&gt;0,-D36*$D$34/$D36+D$34,D36)</f>
        <v>0</v>
      </c>
      <c r="E50">
        <f t="shared" si="36"/>
        <v>0</v>
      </c>
      <c r="F50">
        <f t="shared" si="36"/>
        <v>-12720</v>
      </c>
      <c r="G50">
        <f t="shared" si="36"/>
        <v>12720</v>
      </c>
      <c r="H50">
        <f t="shared" si="36"/>
        <v>0</v>
      </c>
      <c r="I50">
        <f t="shared" si="36"/>
        <v>0</v>
      </c>
      <c r="J50">
        <f t="shared" si="36"/>
        <v>0</v>
      </c>
      <c r="K50">
        <f t="shared" si="36"/>
        <v>0</v>
      </c>
      <c r="L50">
        <f t="shared" si="36"/>
        <v>0</v>
      </c>
      <c r="M50">
        <f t="shared" si="36"/>
        <v>0</v>
      </c>
      <c r="N50">
        <f t="shared" si="36"/>
        <v>0</v>
      </c>
      <c r="O50">
        <f t="shared" si="36"/>
        <v>0</v>
      </c>
      <c r="P50">
        <f t="shared" si="36"/>
        <v>0</v>
      </c>
      <c r="Q50">
        <f t="shared" si="36"/>
        <v>0</v>
      </c>
      <c r="R50">
        <f t="shared" si="36"/>
        <v>0</v>
      </c>
    </row>
    <row r="51" spans="1:18" x14ac:dyDescent="0.25">
      <c r="D51">
        <f t="shared" ref="D51:R51" si="37">IF($D37&lt;&gt;0,-D37*$D$34/$D37+D$34,D37)</f>
        <v>0</v>
      </c>
      <c r="E51">
        <f t="shared" si="37"/>
        <v>37508</v>
      </c>
      <c r="F51">
        <f t="shared" si="37"/>
        <v>204124.62265955101</v>
      </c>
      <c r="G51">
        <f t="shared" si="37"/>
        <v>-367022.65632507706</v>
      </c>
      <c r="H51">
        <f t="shared" si="37"/>
        <v>50539.816777285239</v>
      </c>
      <c r="I51">
        <f t="shared" si="37"/>
        <v>0</v>
      </c>
      <c r="J51">
        <f t="shared" si="37"/>
        <v>39706.479063699036</v>
      </c>
      <c r="K51">
        <f t="shared" si="37"/>
        <v>15159.58004409913</v>
      </c>
      <c r="L51">
        <f t="shared" si="37"/>
        <v>19156.411600187672</v>
      </c>
      <c r="M51">
        <f t="shared" si="37"/>
        <v>0</v>
      </c>
      <c r="N51">
        <f t="shared" si="37"/>
        <v>827.74618025502264</v>
      </c>
      <c r="O51">
        <f t="shared" si="37"/>
        <v>0</v>
      </c>
      <c r="P51">
        <f t="shared" si="37"/>
        <v>0</v>
      </c>
      <c r="Q51">
        <f t="shared" si="37"/>
        <v>0</v>
      </c>
      <c r="R51">
        <f t="shared" si="37"/>
        <v>-63800.382960020936</v>
      </c>
    </row>
    <row r="52" spans="1:18" x14ac:dyDescent="0.25">
      <c r="D52">
        <f t="shared" ref="D52:R52" si="38">IF($D38&lt;&gt;0,-D38*$D$34/$D38+D$34,D38)</f>
        <v>0</v>
      </c>
      <c r="E52">
        <f t="shared" si="38"/>
        <v>0</v>
      </c>
      <c r="F52">
        <f t="shared" si="38"/>
        <v>0</v>
      </c>
      <c r="G52">
        <f t="shared" si="38"/>
        <v>0</v>
      </c>
      <c r="H52">
        <f t="shared" si="38"/>
        <v>-12958</v>
      </c>
      <c r="I52">
        <f t="shared" si="38"/>
        <v>12958</v>
      </c>
      <c r="J52">
        <f t="shared" si="38"/>
        <v>0</v>
      </c>
      <c r="K52">
        <f t="shared" si="38"/>
        <v>0</v>
      </c>
      <c r="L52">
        <f t="shared" si="38"/>
        <v>0</v>
      </c>
      <c r="M52">
        <f t="shared" si="38"/>
        <v>0</v>
      </c>
      <c r="N52">
        <f t="shared" si="38"/>
        <v>0</v>
      </c>
      <c r="O52">
        <f t="shared" si="38"/>
        <v>0</v>
      </c>
      <c r="P52">
        <f t="shared" si="38"/>
        <v>0</v>
      </c>
      <c r="Q52">
        <f t="shared" si="38"/>
        <v>0</v>
      </c>
      <c r="R52">
        <f t="shared" si="38"/>
        <v>0</v>
      </c>
    </row>
    <row r="53" spans="1:18" x14ac:dyDescent="0.25">
      <c r="D53">
        <f t="shared" ref="D53:R53" si="39">IF($D39&lt;&gt;0,-D39*$D$34/$D39+D$34,D39)</f>
        <v>0</v>
      </c>
      <c r="E53">
        <f t="shared" si="39"/>
        <v>41375.22632760182</v>
      </c>
      <c r="F53">
        <f t="shared" si="39"/>
        <v>67333.356704590842</v>
      </c>
      <c r="G53">
        <f t="shared" si="39"/>
        <v>2221.5981030904086</v>
      </c>
      <c r="H53">
        <f t="shared" si="39"/>
        <v>565684.70217579836</v>
      </c>
      <c r="I53">
        <f t="shared" si="39"/>
        <v>-1066202.526660945</v>
      </c>
      <c r="J53">
        <f t="shared" si="39"/>
        <v>27631.715368577941</v>
      </c>
      <c r="K53">
        <f t="shared" si="39"/>
        <v>987.37693470684815</v>
      </c>
      <c r="L53">
        <f t="shared" si="39"/>
        <v>92977.99468489486</v>
      </c>
      <c r="M53">
        <f t="shared" si="39"/>
        <v>7323.0455990757901</v>
      </c>
      <c r="N53">
        <f t="shared" si="39"/>
        <v>71667.10917747207</v>
      </c>
      <c r="O53">
        <f t="shared" si="39"/>
        <v>35463.288238220965</v>
      </c>
      <c r="P53">
        <f t="shared" si="39"/>
        <v>153537.11334691488</v>
      </c>
      <c r="Q53">
        <f t="shared" si="39"/>
        <v>0</v>
      </c>
      <c r="R53">
        <f t="shared" si="39"/>
        <v>-262766.65437737631</v>
      </c>
    </row>
    <row r="54" spans="1:18" x14ac:dyDescent="0.25">
      <c r="D54">
        <f t="shared" ref="D54:R54" si="40">IF($D40&lt;&gt;0,-D40*$D$34/$D40+D$34,D40)</f>
        <v>0</v>
      </c>
      <c r="E54">
        <f t="shared" si="40"/>
        <v>0</v>
      </c>
      <c r="F54">
        <f t="shared" si="40"/>
        <v>0</v>
      </c>
      <c r="G54">
        <f t="shared" si="40"/>
        <v>0</v>
      </c>
      <c r="H54">
        <f t="shared" si="40"/>
        <v>0</v>
      </c>
      <c r="I54">
        <f t="shared" si="40"/>
        <v>0</v>
      </c>
      <c r="J54">
        <f t="shared" si="40"/>
        <v>-4063</v>
      </c>
      <c r="K54">
        <f t="shared" si="40"/>
        <v>4063</v>
      </c>
      <c r="L54">
        <f t="shared" si="40"/>
        <v>0</v>
      </c>
      <c r="M54">
        <f t="shared" si="40"/>
        <v>0</v>
      </c>
      <c r="N54">
        <f t="shared" si="40"/>
        <v>0</v>
      </c>
      <c r="O54">
        <f t="shared" si="40"/>
        <v>0</v>
      </c>
      <c r="P54">
        <f t="shared" si="40"/>
        <v>0</v>
      </c>
      <c r="Q54">
        <f t="shared" si="40"/>
        <v>0</v>
      </c>
      <c r="R54">
        <f t="shared" si="40"/>
        <v>0</v>
      </c>
    </row>
    <row r="55" spans="1:18" x14ac:dyDescent="0.25">
      <c r="D55">
        <f t="shared" ref="D55:R55" si="41">IF($D41&lt;&gt;0,-D41*$D$34/$D41+D$34,D41)</f>
        <v>0</v>
      </c>
      <c r="E55">
        <f t="shared" si="41"/>
        <v>37508</v>
      </c>
      <c r="F55">
        <f t="shared" si="41"/>
        <v>9862.1755598550208</v>
      </c>
      <c r="G55">
        <f t="shared" si="41"/>
        <v>0</v>
      </c>
      <c r="H55">
        <f t="shared" si="41"/>
        <v>0</v>
      </c>
      <c r="I55">
        <f t="shared" si="41"/>
        <v>0</v>
      </c>
      <c r="J55">
        <f t="shared" si="41"/>
        <v>72116.720454191702</v>
      </c>
      <c r="K55">
        <f t="shared" si="41"/>
        <v>-140885.83523828178</v>
      </c>
      <c r="L55">
        <f t="shared" si="41"/>
        <v>21398.939224235084</v>
      </c>
      <c r="M55">
        <f t="shared" si="41"/>
        <v>0</v>
      </c>
      <c r="N55">
        <f t="shared" si="41"/>
        <v>0</v>
      </c>
      <c r="O55">
        <f t="shared" si="41"/>
        <v>0</v>
      </c>
      <c r="P55">
        <f t="shared" si="41"/>
        <v>0</v>
      </c>
      <c r="Q55">
        <f t="shared" si="41"/>
        <v>0</v>
      </c>
      <c r="R55">
        <f t="shared" si="41"/>
        <v>-51872.929738986473</v>
      </c>
    </row>
    <row r="56" spans="1:18" x14ac:dyDescent="0.25">
      <c r="D56">
        <f t="shared" ref="D56:R56" si="42">IF($D42&lt;&gt;0,-D42*$D$34/$D42+D$34,D42)</f>
        <v>0</v>
      </c>
      <c r="E56">
        <f t="shared" si="42"/>
        <v>0</v>
      </c>
      <c r="F56">
        <f t="shared" si="42"/>
        <v>0</v>
      </c>
      <c r="G56">
        <f t="shared" si="42"/>
        <v>0</v>
      </c>
      <c r="H56">
        <f t="shared" si="42"/>
        <v>0</v>
      </c>
      <c r="I56">
        <f t="shared" si="42"/>
        <v>0</v>
      </c>
      <c r="J56">
        <f t="shared" si="42"/>
        <v>0</v>
      </c>
      <c r="K56">
        <f t="shared" si="42"/>
        <v>0</v>
      </c>
      <c r="L56">
        <f t="shared" si="42"/>
        <v>-5742</v>
      </c>
      <c r="M56">
        <f t="shared" si="42"/>
        <v>5742</v>
      </c>
      <c r="N56">
        <f t="shared" si="42"/>
        <v>0</v>
      </c>
      <c r="O56">
        <f t="shared" si="42"/>
        <v>0</v>
      </c>
      <c r="P56">
        <f t="shared" si="42"/>
        <v>0</v>
      </c>
      <c r="Q56">
        <f t="shared" si="42"/>
        <v>0</v>
      </c>
      <c r="R56">
        <f t="shared" si="42"/>
        <v>0</v>
      </c>
    </row>
    <row r="57" spans="1:18" x14ac:dyDescent="0.25">
      <c r="D57">
        <f t="shared" ref="D57:R57" si="43">IF($D43&lt;&gt;0,-D43*$D$34/$D43+D$34,D43)</f>
        <v>0</v>
      </c>
      <c r="E57">
        <f t="shared" si="43"/>
        <v>38837.209775768482</v>
      </c>
      <c r="F57">
        <f t="shared" si="43"/>
        <v>16284.940218444957</v>
      </c>
      <c r="G57">
        <f t="shared" si="43"/>
        <v>5538.3740657020035</v>
      </c>
      <c r="H57">
        <f t="shared" si="43"/>
        <v>37937.862350058713</v>
      </c>
      <c r="I57">
        <f t="shared" si="43"/>
        <v>0</v>
      </c>
      <c r="J57">
        <f t="shared" si="43"/>
        <v>14716.746974288817</v>
      </c>
      <c r="K57">
        <f t="shared" si="43"/>
        <v>2381.5008482518615</v>
      </c>
      <c r="L57">
        <f t="shared" si="43"/>
        <v>143277.73707971082</v>
      </c>
      <c r="M57">
        <f t="shared" si="43"/>
        <v>-323108.74299305485</v>
      </c>
      <c r="N57">
        <f t="shared" si="43"/>
        <v>12516.725388486528</v>
      </c>
      <c r="O57">
        <f t="shared" si="43"/>
        <v>24756.532073687951</v>
      </c>
      <c r="P57">
        <f t="shared" si="43"/>
        <v>26861.114218654708</v>
      </c>
      <c r="Q57">
        <f t="shared" si="43"/>
        <v>0</v>
      </c>
      <c r="R57">
        <f t="shared" si="43"/>
        <v>-143534.64273545661</v>
      </c>
    </row>
    <row r="58" spans="1:18" x14ac:dyDescent="0.25">
      <c r="D58">
        <f t="shared" ref="D58:R58" si="44">IF($D44&lt;&gt;0,-D44*$D$34/$D44+D$34,D44)</f>
        <v>0</v>
      </c>
      <c r="E58">
        <f t="shared" si="44"/>
        <v>0</v>
      </c>
      <c r="F58">
        <f t="shared" si="44"/>
        <v>0</v>
      </c>
      <c r="G58">
        <f t="shared" si="44"/>
        <v>0</v>
      </c>
      <c r="H58">
        <f t="shared" si="44"/>
        <v>0</v>
      </c>
      <c r="I58">
        <f t="shared" si="44"/>
        <v>0</v>
      </c>
      <c r="J58">
        <f t="shared" si="44"/>
        <v>0</v>
      </c>
      <c r="K58">
        <f t="shared" si="44"/>
        <v>0</v>
      </c>
      <c r="L58">
        <f t="shared" si="44"/>
        <v>0</v>
      </c>
      <c r="M58">
        <f t="shared" si="44"/>
        <v>0</v>
      </c>
      <c r="N58">
        <f t="shared" si="44"/>
        <v>-3167</v>
      </c>
      <c r="O58">
        <f t="shared" si="44"/>
        <v>3167</v>
      </c>
      <c r="P58">
        <f t="shared" si="44"/>
        <v>0</v>
      </c>
      <c r="Q58">
        <f t="shared" si="44"/>
        <v>0</v>
      </c>
      <c r="R58">
        <f t="shared" si="44"/>
        <v>0</v>
      </c>
    </row>
    <row r="59" spans="1:18" x14ac:dyDescent="0.25">
      <c r="D59">
        <f t="shared" ref="D59:R59" si="45">IF($D45&lt;&gt;0,-D45*$D$34/$D45+D$34,D45)</f>
        <v>0</v>
      </c>
      <c r="E59">
        <f t="shared" si="45"/>
        <v>37508</v>
      </c>
      <c r="F59">
        <f t="shared" si="45"/>
        <v>47313.498814693361</v>
      </c>
      <c r="G59">
        <f t="shared" si="45"/>
        <v>1344.2295808118315</v>
      </c>
      <c r="H59">
        <f t="shared" si="45"/>
        <v>4256.7270059041339</v>
      </c>
      <c r="I59">
        <f t="shared" si="45"/>
        <v>0</v>
      </c>
      <c r="J59">
        <f t="shared" si="45"/>
        <v>36719.25911704309</v>
      </c>
      <c r="K59">
        <f t="shared" si="45"/>
        <v>8401.4348800739481</v>
      </c>
      <c r="L59">
        <f t="shared" si="45"/>
        <v>31925.452544281005</v>
      </c>
      <c r="M59">
        <f t="shared" si="45"/>
        <v>0</v>
      </c>
      <c r="N59">
        <f t="shared" si="45"/>
        <v>213844.52248081556</v>
      </c>
      <c r="O59">
        <f t="shared" si="45"/>
        <v>-462526.99493100442</v>
      </c>
      <c r="P59">
        <f t="shared" si="45"/>
        <v>81213.870507381507</v>
      </c>
      <c r="Q59">
        <f t="shared" si="45"/>
        <v>0</v>
      </c>
      <c r="R59">
        <f t="shared" si="45"/>
        <v>-231193.52854638873</v>
      </c>
    </row>
    <row r="60" spans="1:18" x14ac:dyDescent="0.25">
      <c r="D60">
        <f t="shared" ref="D60:R60" si="46">IF($D46&lt;&gt;0,-D46*$D$34/$D46+D$34,D46)</f>
        <v>0</v>
      </c>
      <c r="E60">
        <f t="shared" si="46"/>
        <v>0</v>
      </c>
      <c r="F60">
        <f t="shared" si="46"/>
        <v>0</v>
      </c>
      <c r="G60">
        <f t="shared" si="46"/>
        <v>0</v>
      </c>
      <c r="H60">
        <f t="shared" si="46"/>
        <v>0</v>
      </c>
      <c r="I60">
        <f t="shared" si="46"/>
        <v>0</v>
      </c>
      <c r="J60">
        <f t="shared" si="46"/>
        <v>0</v>
      </c>
      <c r="K60">
        <f t="shared" si="46"/>
        <v>0</v>
      </c>
      <c r="L60">
        <f t="shared" si="46"/>
        <v>0</v>
      </c>
      <c r="M60">
        <f t="shared" si="46"/>
        <v>0</v>
      </c>
      <c r="N60">
        <f t="shared" si="46"/>
        <v>0</v>
      </c>
      <c r="O60">
        <f t="shared" si="46"/>
        <v>0</v>
      </c>
      <c r="P60">
        <f t="shared" si="46"/>
        <v>-4508</v>
      </c>
      <c r="Q60">
        <f t="shared" si="46"/>
        <v>4508</v>
      </c>
      <c r="R60">
        <f t="shared" si="46"/>
        <v>0</v>
      </c>
    </row>
    <row r="61" spans="1:18" x14ac:dyDescent="0.25">
      <c r="D61">
        <f t="shared" ref="D61:R61" si="47">IF($D47&lt;&gt;0,-D47*$D$34/$D47+D$34,D47)</f>
        <v>0</v>
      </c>
      <c r="E61">
        <f t="shared" si="47"/>
        <v>37508</v>
      </c>
      <c r="F61">
        <f t="shared" si="47"/>
        <v>28957.740473593032</v>
      </c>
      <c r="G61">
        <f t="shared" si="47"/>
        <v>0</v>
      </c>
      <c r="H61">
        <f t="shared" si="47"/>
        <v>100408.02213212279</v>
      </c>
      <c r="I61">
        <f t="shared" si="47"/>
        <v>774.35492646881323</v>
      </c>
      <c r="J61">
        <f t="shared" si="47"/>
        <v>22326.957761497546</v>
      </c>
      <c r="K61">
        <f t="shared" si="47"/>
        <v>516.23661764587553</v>
      </c>
      <c r="L61">
        <f t="shared" si="47"/>
        <v>93180.70948508053</v>
      </c>
      <c r="M61">
        <f t="shared" si="47"/>
        <v>1032.4732352917511</v>
      </c>
      <c r="N61">
        <f t="shared" si="47"/>
        <v>103505.44183799805</v>
      </c>
      <c r="O61">
        <f t="shared" si="47"/>
        <v>22198.174558772644</v>
      </c>
      <c r="P61">
        <f t="shared" si="47"/>
        <v>753189.22514533228</v>
      </c>
      <c r="Q61">
        <f t="shared" si="47"/>
        <v>-1163597.3361738033</v>
      </c>
      <c r="R61">
        <f t="shared" si="47"/>
        <v>-825342.77830056928</v>
      </c>
    </row>
    <row r="63" spans="1:18" x14ac:dyDescent="0.25">
      <c r="A63" s="2" t="s">
        <v>23</v>
      </c>
      <c r="E63" s="1">
        <f>IF($E50&lt;&gt;0,-E50*$E$49/$E50+E$49,E50)</f>
        <v>0</v>
      </c>
      <c r="F63" s="1">
        <f t="shared" ref="F63:R63" si="48">IF($E50&lt;&gt;0,-F50*$E$49/$E50+F$49,F50)</f>
        <v>-12720</v>
      </c>
      <c r="G63" s="1">
        <f t="shared" si="48"/>
        <v>12720</v>
      </c>
      <c r="H63" s="1">
        <f t="shared" si="48"/>
        <v>0</v>
      </c>
      <c r="I63" s="1">
        <f t="shared" si="48"/>
        <v>0</v>
      </c>
      <c r="J63" s="1">
        <f t="shared" si="48"/>
        <v>0</v>
      </c>
      <c r="K63" s="1">
        <f t="shared" si="48"/>
        <v>0</v>
      </c>
      <c r="L63" s="1">
        <f t="shared" si="48"/>
        <v>0</v>
      </c>
      <c r="M63" s="1">
        <f t="shared" si="48"/>
        <v>0</v>
      </c>
      <c r="N63" s="1">
        <f t="shared" si="48"/>
        <v>0</v>
      </c>
      <c r="O63" s="1">
        <f t="shared" si="48"/>
        <v>0</v>
      </c>
      <c r="P63" s="1">
        <f t="shared" si="48"/>
        <v>0</v>
      </c>
      <c r="Q63" s="1">
        <f t="shared" si="48"/>
        <v>0</v>
      </c>
      <c r="R63" s="1">
        <f t="shared" si="48"/>
        <v>0</v>
      </c>
    </row>
    <row r="64" spans="1:18" x14ac:dyDescent="0.25">
      <c r="E64">
        <f t="shared" ref="E64:R64" si="49">IF($E51&lt;&gt;0,-E51*$E$49/$E51+E$49,E51)</f>
        <v>0</v>
      </c>
      <c r="F64">
        <f t="shared" si="49"/>
        <v>146184.93511896109</v>
      </c>
      <c r="G64">
        <f t="shared" si="49"/>
        <v>-249102.09888545534</v>
      </c>
      <c r="H64">
        <f t="shared" si="49"/>
        <v>46116.375413764501</v>
      </c>
      <c r="I64">
        <f t="shared" si="49"/>
        <v>0</v>
      </c>
      <c r="J64">
        <f t="shared" si="49"/>
        <v>28060.997026752764</v>
      </c>
      <c r="K64">
        <f t="shared" si="49"/>
        <v>10691.617083903635</v>
      </c>
      <c r="L64">
        <f t="shared" si="49"/>
        <v>15725.854687956496</v>
      </c>
      <c r="M64">
        <f t="shared" si="49"/>
        <v>0</v>
      </c>
      <c r="N64">
        <f t="shared" si="49"/>
        <v>2322.3195541168657</v>
      </c>
      <c r="O64">
        <f t="shared" si="49"/>
        <v>0</v>
      </c>
      <c r="P64">
        <f t="shared" si="49"/>
        <v>0</v>
      </c>
      <c r="Q64">
        <f t="shared" si="49"/>
        <v>0</v>
      </c>
      <c r="R64">
        <f t="shared" si="49"/>
        <v>-49965.186075338264</v>
      </c>
    </row>
    <row r="65" spans="1:18" x14ac:dyDescent="0.25">
      <c r="E65">
        <f t="shared" ref="E65:R65" si="50">IF($E52&lt;&gt;0,-E52*$E$49/$E52+E$49,E52)</f>
        <v>0</v>
      </c>
      <c r="F65">
        <f t="shared" si="50"/>
        <v>0</v>
      </c>
      <c r="G65">
        <f t="shared" si="50"/>
        <v>0</v>
      </c>
      <c r="H65">
        <f t="shared" si="50"/>
        <v>-12958</v>
      </c>
      <c r="I65">
        <f t="shared" si="50"/>
        <v>12958</v>
      </c>
      <c r="J65">
        <f t="shared" si="50"/>
        <v>0</v>
      </c>
      <c r="K65">
        <f t="shared" si="50"/>
        <v>0</v>
      </c>
      <c r="L65">
        <f t="shared" si="50"/>
        <v>0</v>
      </c>
      <c r="M65">
        <f t="shared" si="50"/>
        <v>0</v>
      </c>
      <c r="N65">
        <f t="shared" si="50"/>
        <v>0</v>
      </c>
      <c r="O65">
        <f t="shared" si="50"/>
        <v>0</v>
      </c>
      <c r="P65">
        <f t="shared" si="50"/>
        <v>0</v>
      </c>
      <c r="Q65">
        <f t="shared" si="50"/>
        <v>0</v>
      </c>
      <c r="R65">
        <f t="shared" si="50"/>
        <v>0</v>
      </c>
    </row>
    <row r="66" spans="1:18" x14ac:dyDescent="0.25">
      <c r="E66">
        <f t="shared" ref="E66:R66" si="51">IF($E53&lt;&gt;0,-E53*$E$49/$E53+E$49,E53)</f>
        <v>0</v>
      </c>
      <c r="F66">
        <f t="shared" si="51"/>
        <v>47312.551463194926</v>
      </c>
      <c r="G66">
        <f t="shared" si="51"/>
        <v>5904.3586341807213</v>
      </c>
      <c r="H66">
        <f t="shared" si="51"/>
        <v>365548.98197044514</v>
      </c>
      <c r="I66">
        <f t="shared" si="51"/>
        <v>-667890.03041013551</v>
      </c>
      <c r="J66">
        <f t="shared" si="51"/>
        <v>17932.632153473358</v>
      </c>
      <c r="K66">
        <f t="shared" si="51"/>
        <v>834.77062705849937</v>
      </c>
      <c r="L66">
        <f t="shared" si="51"/>
        <v>60731.888986848149</v>
      </c>
      <c r="M66">
        <f t="shared" si="51"/>
        <v>4587.2984030330335</v>
      </c>
      <c r="N66">
        <f t="shared" si="51"/>
        <v>46644.015230700679</v>
      </c>
      <c r="O66">
        <f t="shared" si="51"/>
        <v>22214.894513564468</v>
      </c>
      <c r="P66">
        <f t="shared" si="51"/>
        <v>96178.638427636412</v>
      </c>
      <c r="Q66">
        <f t="shared" si="51"/>
        <v>0</v>
      </c>
      <c r="R66">
        <f t="shared" si="51"/>
        <v>-170480.89829149746</v>
      </c>
    </row>
    <row r="67" spans="1:18" x14ac:dyDescent="0.25">
      <c r="E67">
        <f t="shared" ref="E67:R67" si="52">IF($E54&lt;&gt;0,-E54*$E$49/$E54+E$49,E54)</f>
        <v>0</v>
      </c>
      <c r="F67">
        <f t="shared" si="52"/>
        <v>0</v>
      </c>
      <c r="G67">
        <f t="shared" si="52"/>
        <v>0</v>
      </c>
      <c r="H67">
        <f t="shared" si="52"/>
        <v>0</v>
      </c>
      <c r="I67">
        <f t="shared" si="52"/>
        <v>0</v>
      </c>
      <c r="J67">
        <f t="shared" si="52"/>
        <v>-4063</v>
      </c>
      <c r="K67">
        <f t="shared" si="52"/>
        <v>4063</v>
      </c>
      <c r="L67">
        <f t="shared" si="52"/>
        <v>0</v>
      </c>
      <c r="M67">
        <f t="shared" si="52"/>
        <v>0</v>
      </c>
      <c r="N67">
        <f t="shared" si="52"/>
        <v>0</v>
      </c>
      <c r="O67">
        <f t="shared" si="52"/>
        <v>0</v>
      </c>
      <c r="P67">
        <f t="shared" si="52"/>
        <v>0</v>
      </c>
      <c r="Q67">
        <f t="shared" si="52"/>
        <v>0</v>
      </c>
      <c r="R67">
        <f t="shared" si="52"/>
        <v>0</v>
      </c>
    </row>
    <row r="68" spans="1:18" x14ac:dyDescent="0.25">
      <c r="E68">
        <f t="shared" ref="E68:R68" si="53">IF($E55&lt;&gt;0,-E55*$E$49/$E55+E$49,E55)</f>
        <v>0</v>
      </c>
      <c r="F68">
        <f t="shared" si="53"/>
        <v>11948.446365853782</v>
      </c>
      <c r="G68">
        <f t="shared" si="53"/>
        <v>4512.7063096650818</v>
      </c>
      <c r="H68">
        <f t="shared" si="53"/>
        <v>11193.066005814737</v>
      </c>
      <c r="I68">
        <f t="shared" si="53"/>
        <v>0</v>
      </c>
      <c r="J68">
        <f t="shared" si="53"/>
        <v>50456.663656379867</v>
      </c>
      <c r="K68">
        <f t="shared" si="53"/>
        <v>-97136.678843910136</v>
      </c>
      <c r="L68">
        <f t="shared" si="53"/>
        <v>17275.454410796825</v>
      </c>
      <c r="M68">
        <f t="shared" si="53"/>
        <v>0</v>
      </c>
      <c r="N68">
        <f t="shared" si="53"/>
        <v>1750.3420953998598</v>
      </c>
      <c r="O68">
        <f t="shared" si="53"/>
        <v>0</v>
      </c>
      <c r="P68">
        <f t="shared" si="53"/>
        <v>0</v>
      </c>
      <c r="Q68">
        <f t="shared" si="53"/>
        <v>0</v>
      </c>
      <c r="R68">
        <f t="shared" si="53"/>
        <v>-41723.246039769183</v>
      </c>
    </row>
    <row r="69" spans="1:18" x14ac:dyDescent="0.25">
      <c r="E69">
        <f t="shared" ref="E69:R69" si="54">IF($E56&lt;&gt;0,-E56*$E$49/$E56+E$49,E56)</f>
        <v>0</v>
      </c>
      <c r="F69">
        <f t="shared" si="54"/>
        <v>0</v>
      </c>
      <c r="G69">
        <f t="shared" si="54"/>
        <v>0</v>
      </c>
      <c r="H69">
        <f t="shared" si="54"/>
        <v>0</v>
      </c>
      <c r="I69">
        <f t="shared" si="54"/>
        <v>0</v>
      </c>
      <c r="J69">
        <f t="shared" si="54"/>
        <v>0</v>
      </c>
      <c r="K69">
        <f t="shared" si="54"/>
        <v>0</v>
      </c>
      <c r="L69">
        <f t="shared" si="54"/>
        <v>-5742</v>
      </c>
      <c r="M69">
        <f t="shared" si="54"/>
        <v>5742</v>
      </c>
      <c r="N69">
        <f t="shared" si="54"/>
        <v>0</v>
      </c>
      <c r="O69">
        <f t="shared" si="54"/>
        <v>0</v>
      </c>
      <c r="P69">
        <f t="shared" si="54"/>
        <v>0</v>
      </c>
      <c r="Q69">
        <f t="shared" si="54"/>
        <v>0</v>
      </c>
      <c r="R69">
        <f t="shared" si="54"/>
        <v>0</v>
      </c>
    </row>
    <row r="70" spans="1:18" x14ac:dyDescent="0.25">
      <c r="E70">
        <f t="shared" ref="E70:R70" si="55">IF($E57&lt;&gt;0,-E57*$E$49/$E57+E$49,E57)</f>
        <v>0</v>
      </c>
      <c r="F70">
        <f t="shared" si="55"/>
        <v>16001.478995389389</v>
      </c>
      <c r="G70">
        <f t="shared" si="55"/>
        <v>8208.773860479223</v>
      </c>
      <c r="H70">
        <f t="shared" si="55"/>
        <v>36511.128728891592</v>
      </c>
      <c r="I70">
        <f t="shared" si="55"/>
        <v>0</v>
      </c>
      <c r="J70">
        <f t="shared" si="55"/>
        <v>10444.897854733561</v>
      </c>
      <c r="K70">
        <f t="shared" si="55"/>
        <v>1805.567529679407</v>
      </c>
      <c r="L70">
        <f t="shared" si="55"/>
        <v>98105.929611496191</v>
      </c>
      <c r="M70">
        <f t="shared" si="55"/>
        <v>-215628.58091449697</v>
      </c>
      <c r="N70">
        <f t="shared" si="55"/>
        <v>10103.454760239818</v>
      </c>
      <c r="O70">
        <f t="shared" si="55"/>
        <v>16521.421952139208</v>
      </c>
      <c r="P70">
        <f t="shared" si="55"/>
        <v>17925.927621448576</v>
      </c>
      <c r="Q70">
        <f t="shared" si="55"/>
        <v>0</v>
      </c>
      <c r="R70">
        <f t="shared" si="55"/>
        <v>-101667.46285550593</v>
      </c>
    </row>
    <row r="71" spans="1:18" x14ac:dyDescent="0.25">
      <c r="E71">
        <f t="shared" ref="E71:R71" si="56">IF($E58&lt;&gt;0,-E58*$E$49/$E58+E$49,E58)</f>
        <v>0</v>
      </c>
      <c r="F71">
        <f t="shared" si="56"/>
        <v>0</v>
      </c>
      <c r="G71">
        <f t="shared" si="56"/>
        <v>0</v>
      </c>
      <c r="H71">
        <f t="shared" si="56"/>
        <v>0</v>
      </c>
      <c r="I71">
        <f t="shared" si="56"/>
        <v>0</v>
      </c>
      <c r="J71">
        <f t="shared" si="56"/>
        <v>0</v>
      </c>
      <c r="K71">
        <f t="shared" si="56"/>
        <v>0</v>
      </c>
      <c r="L71">
        <f t="shared" si="56"/>
        <v>0</v>
      </c>
      <c r="M71">
        <f t="shared" si="56"/>
        <v>0</v>
      </c>
      <c r="N71">
        <f t="shared" si="56"/>
        <v>-3167</v>
      </c>
      <c r="O71">
        <f t="shared" si="56"/>
        <v>3167</v>
      </c>
      <c r="P71">
        <f t="shared" si="56"/>
        <v>0</v>
      </c>
      <c r="Q71">
        <f t="shared" si="56"/>
        <v>0</v>
      </c>
      <c r="R71">
        <f t="shared" si="56"/>
        <v>0</v>
      </c>
    </row>
    <row r="72" spans="1:18" x14ac:dyDescent="0.25">
      <c r="E72">
        <f t="shared" ref="E72:R72" si="57">IF($E59&lt;&gt;0,-E59*$E$49/$E59+E$49,E59)</f>
        <v>0</v>
      </c>
      <c r="F72">
        <f t="shared" si="57"/>
        <v>37827.53008967331</v>
      </c>
      <c r="G72">
        <f t="shared" si="57"/>
        <v>5441.576823242196</v>
      </c>
      <c r="H72">
        <f t="shared" si="57"/>
        <v>14134.489298808932</v>
      </c>
      <c r="I72">
        <f t="shared" si="57"/>
        <v>0</v>
      </c>
      <c r="J72">
        <f t="shared" si="57"/>
        <v>25996.810547280755</v>
      </c>
      <c r="K72">
        <f t="shared" si="57"/>
        <v>6021.699192686292</v>
      </c>
      <c r="L72">
        <f t="shared" si="57"/>
        <v>24549.336769390822</v>
      </c>
      <c r="M72">
        <f t="shared" si="57"/>
        <v>0</v>
      </c>
      <c r="N72">
        <f t="shared" si="57"/>
        <v>149518.15963029247</v>
      </c>
      <c r="O72">
        <f t="shared" si="57"/>
        <v>-319608.86254665878</v>
      </c>
      <c r="P72">
        <f t="shared" si="57"/>
        <v>56119.260195284005</v>
      </c>
      <c r="Q72">
        <f t="shared" si="57"/>
        <v>0</v>
      </c>
      <c r="R72">
        <f t="shared" si="57"/>
        <v>-165634.83010756812</v>
      </c>
    </row>
    <row r="73" spans="1:18" x14ac:dyDescent="0.25">
      <c r="E73">
        <f t="shared" ref="E73:R74" si="58">IF($E60&lt;&gt;0,-E60*$E$49/$E60+E$49,E60)</f>
        <v>0</v>
      </c>
      <c r="F73">
        <f t="shared" si="58"/>
        <v>0</v>
      </c>
      <c r="G73">
        <f t="shared" si="58"/>
        <v>0</v>
      </c>
      <c r="H73">
        <f t="shared" si="58"/>
        <v>0</v>
      </c>
      <c r="I73">
        <f t="shared" si="58"/>
        <v>0</v>
      </c>
      <c r="J73">
        <f t="shared" si="58"/>
        <v>0</v>
      </c>
      <c r="K73">
        <f t="shared" si="58"/>
        <v>0</v>
      </c>
      <c r="L73">
        <f t="shared" si="58"/>
        <v>0</v>
      </c>
      <c r="M73">
        <f t="shared" si="58"/>
        <v>0</v>
      </c>
      <c r="N73">
        <f t="shared" si="58"/>
        <v>0</v>
      </c>
      <c r="O73">
        <f t="shared" si="58"/>
        <v>0</v>
      </c>
      <c r="P73">
        <f t="shared" si="58"/>
        <v>-4508</v>
      </c>
      <c r="Q73">
        <f t="shared" si="58"/>
        <v>4508</v>
      </c>
      <c r="R73">
        <f t="shared" si="58"/>
        <v>0</v>
      </c>
    </row>
    <row r="74" spans="1:18" x14ac:dyDescent="0.25">
      <c r="E74">
        <f t="shared" si="58"/>
        <v>0</v>
      </c>
      <c r="F74">
        <f t="shared" si="58"/>
        <v>25143.593565156389</v>
      </c>
      <c r="G74">
        <f t="shared" si="58"/>
        <v>4512.7063096650818</v>
      </c>
      <c r="H74">
        <f t="shared" si="58"/>
        <v>80575.597395133082</v>
      </c>
      <c r="I74">
        <f t="shared" si="58"/>
        <v>535.08378963484586</v>
      </c>
      <c r="J74">
        <f t="shared" si="58"/>
        <v>16051.646013995902</v>
      </c>
      <c r="K74">
        <f t="shared" si="58"/>
        <v>572.98100925255687</v>
      </c>
      <c r="L74">
        <f t="shared" si="58"/>
        <v>66877.078091327494</v>
      </c>
      <c r="M74">
        <f t="shared" si="58"/>
        <v>713.44505284646118</v>
      </c>
      <c r="N74">
        <f t="shared" si="58"/>
        <v>73273.208643257603</v>
      </c>
      <c r="O74">
        <f t="shared" si="58"/>
        <v>15339.068636198914</v>
      </c>
      <c r="P74">
        <f t="shared" si="58"/>
        <v>520458.16605149343</v>
      </c>
      <c r="Q74">
        <f t="shared" si="58"/>
        <v>-804052.57455796166</v>
      </c>
      <c r="R74">
        <f t="shared" si="58"/>
        <v>-576195.4416567625</v>
      </c>
    </row>
    <row r="76" spans="1:18" x14ac:dyDescent="0.25">
      <c r="A76" s="2" t="s">
        <v>24</v>
      </c>
      <c r="F76" s="1">
        <f>IF($F64&lt;&gt;0,-F64*$F$63/$F64+F$63,F64)</f>
        <v>0</v>
      </c>
      <c r="G76" s="1">
        <f t="shared" ref="G76:R76" si="59">IF($F64&lt;&gt;0,-G64*$F$63/$F64+G$63,G64)</f>
        <v>-8955.1383803296412</v>
      </c>
      <c r="H76" s="1">
        <f t="shared" si="59"/>
        <v>4012.7274044054266</v>
      </c>
      <c r="I76" s="1">
        <f t="shared" si="59"/>
        <v>0</v>
      </c>
      <c r="J76" s="1">
        <f t="shared" si="59"/>
        <v>2441.6735000075832</v>
      </c>
      <c r="K76" s="1">
        <f t="shared" si="59"/>
        <v>930.31042628697332</v>
      </c>
      <c r="L76" s="1">
        <f t="shared" si="59"/>
        <v>1368.3548955850042</v>
      </c>
      <c r="M76" s="1">
        <f t="shared" si="59"/>
        <v>0</v>
      </c>
      <c r="N76" s="1">
        <f t="shared" si="59"/>
        <v>202.07215404465452</v>
      </c>
      <c r="O76" s="1">
        <f t="shared" si="59"/>
        <v>0</v>
      </c>
      <c r="P76" s="1">
        <f t="shared" si="59"/>
        <v>0</v>
      </c>
      <c r="Q76" s="1">
        <f t="shared" si="59"/>
        <v>0</v>
      </c>
      <c r="R76" s="1">
        <f t="shared" si="59"/>
        <v>-4347.6242361164277</v>
      </c>
    </row>
    <row r="77" spans="1:18" x14ac:dyDescent="0.25">
      <c r="F77">
        <f t="shared" ref="F77:R77" si="60">IF($F65&lt;&gt;0,-F65*$F$63/$F65+F$63,F65)</f>
        <v>0</v>
      </c>
      <c r="G77">
        <f t="shared" si="60"/>
        <v>0</v>
      </c>
      <c r="H77">
        <f t="shared" si="60"/>
        <v>-12958</v>
      </c>
      <c r="I77">
        <f t="shared" si="60"/>
        <v>12958</v>
      </c>
      <c r="J77">
        <f t="shared" si="60"/>
        <v>0</v>
      </c>
      <c r="K77">
        <f t="shared" si="60"/>
        <v>0</v>
      </c>
      <c r="L77">
        <f t="shared" si="60"/>
        <v>0</v>
      </c>
      <c r="M77">
        <f t="shared" si="60"/>
        <v>0</v>
      </c>
      <c r="N77">
        <f t="shared" si="60"/>
        <v>0</v>
      </c>
      <c r="O77">
        <f t="shared" si="60"/>
        <v>0</v>
      </c>
      <c r="P77">
        <f t="shared" si="60"/>
        <v>0</v>
      </c>
      <c r="Q77">
        <f t="shared" si="60"/>
        <v>0</v>
      </c>
      <c r="R77">
        <f t="shared" si="60"/>
        <v>0</v>
      </c>
    </row>
    <row r="78" spans="1:18" x14ac:dyDescent="0.25">
      <c r="F78">
        <f t="shared" ref="F78:R78" si="61">IF($F66&lt;&gt;0,-F66*$F$63/$F66+F$63,F66)</f>
        <v>-1.8189894035458565E-12</v>
      </c>
      <c r="G78">
        <f t="shared" si="61"/>
        <v>14307.389381974099</v>
      </c>
      <c r="H78">
        <f t="shared" si="61"/>
        <v>98278.00249329592</v>
      </c>
      <c r="I78">
        <f t="shared" si="61"/>
        <v>-179562.52461729391</v>
      </c>
      <c r="J78">
        <f t="shared" si="61"/>
        <v>4821.1959392979597</v>
      </c>
      <c r="K78">
        <f t="shared" si="61"/>
        <v>224.42844547168878</v>
      </c>
      <c r="L78">
        <f t="shared" si="61"/>
        <v>16327.794718778887</v>
      </c>
      <c r="M78">
        <f t="shared" si="61"/>
        <v>1233.2971670735571</v>
      </c>
      <c r="N78">
        <f t="shared" si="61"/>
        <v>12540.263743671867</v>
      </c>
      <c r="O78">
        <f t="shared" si="61"/>
        <v>5972.4840338056538</v>
      </c>
      <c r="P78">
        <f t="shared" si="61"/>
        <v>25857.668693924243</v>
      </c>
      <c r="Q78">
        <f t="shared" si="61"/>
        <v>0</v>
      </c>
      <c r="R78">
        <f t="shared" si="61"/>
        <v>-45833.86351409871</v>
      </c>
    </row>
    <row r="79" spans="1:18" x14ac:dyDescent="0.25">
      <c r="F79">
        <f t="shared" ref="F79:R79" si="62">IF($F67&lt;&gt;0,-F67*$F$63/$F67+F$63,F67)</f>
        <v>0</v>
      </c>
      <c r="G79">
        <f t="shared" si="62"/>
        <v>0</v>
      </c>
      <c r="H79">
        <f t="shared" si="62"/>
        <v>0</v>
      </c>
      <c r="I79">
        <f t="shared" si="62"/>
        <v>0</v>
      </c>
      <c r="J79">
        <f t="shared" si="62"/>
        <v>-4063</v>
      </c>
      <c r="K79">
        <f t="shared" si="62"/>
        <v>4063</v>
      </c>
      <c r="L79">
        <f t="shared" si="62"/>
        <v>0</v>
      </c>
      <c r="M79">
        <f t="shared" si="62"/>
        <v>0</v>
      </c>
      <c r="N79">
        <f t="shared" si="62"/>
        <v>0</v>
      </c>
      <c r="O79">
        <f t="shared" si="62"/>
        <v>0</v>
      </c>
      <c r="P79">
        <f t="shared" si="62"/>
        <v>0</v>
      </c>
      <c r="Q79">
        <f t="shared" si="62"/>
        <v>0</v>
      </c>
      <c r="R79">
        <f t="shared" si="62"/>
        <v>0</v>
      </c>
    </row>
    <row r="80" spans="1:18" x14ac:dyDescent="0.25">
      <c r="F80">
        <f t="shared" ref="F80:R80" si="63">IF($F68&lt;&gt;0,-F68*$F$63/$F68+F$63,F68)</f>
        <v>0</v>
      </c>
      <c r="G80">
        <f t="shared" si="63"/>
        <v>17524.107789526675</v>
      </c>
      <c r="H80">
        <f t="shared" si="63"/>
        <v>11915.842046280124</v>
      </c>
      <c r="I80">
        <f t="shared" si="63"/>
        <v>0</v>
      </c>
      <c r="J80">
        <f t="shared" si="63"/>
        <v>53714.829698973263</v>
      </c>
      <c r="K80">
        <f t="shared" si="63"/>
        <v>-103409.13931919784</v>
      </c>
      <c r="L80">
        <f t="shared" si="63"/>
        <v>18390.991881029691</v>
      </c>
      <c r="M80">
        <f t="shared" si="63"/>
        <v>0</v>
      </c>
      <c r="N80">
        <f t="shared" si="63"/>
        <v>1863.3679033881076</v>
      </c>
      <c r="O80">
        <f t="shared" si="63"/>
        <v>0</v>
      </c>
      <c r="P80">
        <f t="shared" si="63"/>
        <v>0</v>
      </c>
      <c r="Q80">
        <f t="shared" si="63"/>
        <v>0</v>
      </c>
      <c r="R80">
        <f t="shared" si="63"/>
        <v>-44417.464277410363</v>
      </c>
    </row>
    <row r="81" spans="1:18" x14ac:dyDescent="0.25">
      <c r="F81">
        <f t="shared" ref="F81:R81" si="64">IF($F69&lt;&gt;0,-F69*$F$63/$F69+F$63,F69)</f>
        <v>0</v>
      </c>
      <c r="G81">
        <f t="shared" si="64"/>
        <v>0</v>
      </c>
      <c r="H81">
        <f t="shared" si="64"/>
        <v>0</v>
      </c>
      <c r="I81">
        <f t="shared" si="64"/>
        <v>0</v>
      </c>
      <c r="J81">
        <f t="shared" si="64"/>
        <v>0</v>
      </c>
      <c r="K81">
        <f t="shared" si="64"/>
        <v>0</v>
      </c>
      <c r="L81">
        <f t="shared" si="64"/>
        <v>-5742</v>
      </c>
      <c r="M81">
        <f t="shared" si="64"/>
        <v>5742</v>
      </c>
      <c r="N81">
        <f t="shared" si="64"/>
        <v>0</v>
      </c>
      <c r="O81">
        <f t="shared" si="64"/>
        <v>0</v>
      </c>
      <c r="P81">
        <f t="shared" si="64"/>
        <v>0</v>
      </c>
      <c r="Q81">
        <f t="shared" si="64"/>
        <v>0</v>
      </c>
      <c r="R81">
        <f t="shared" si="64"/>
        <v>0</v>
      </c>
    </row>
    <row r="82" spans="1:18" x14ac:dyDescent="0.25">
      <c r="F82">
        <f t="shared" ref="F82:R82" si="65">IF($F70&lt;&gt;0,-F70*$F$63/$F70+F$63,F70)</f>
        <v>0</v>
      </c>
      <c r="G82">
        <f t="shared" si="65"/>
        <v>19245.372031884159</v>
      </c>
      <c r="H82">
        <f t="shared" si="65"/>
        <v>29023.664472847657</v>
      </c>
      <c r="I82">
        <f t="shared" si="65"/>
        <v>0</v>
      </c>
      <c r="J82">
        <f t="shared" si="65"/>
        <v>8302.9262951563705</v>
      </c>
      <c r="K82">
        <f t="shared" si="65"/>
        <v>1435.293511564752</v>
      </c>
      <c r="L82">
        <f t="shared" si="65"/>
        <v>77987.005139824847</v>
      </c>
      <c r="M82">
        <f t="shared" si="65"/>
        <v>-171408.87726832632</v>
      </c>
      <c r="N82">
        <f t="shared" si="65"/>
        <v>8031.5041245425273</v>
      </c>
      <c r="O82">
        <f t="shared" si="65"/>
        <v>13133.316444796345</v>
      </c>
      <c r="P82">
        <f t="shared" si="65"/>
        <v>14249.795247709675</v>
      </c>
      <c r="Q82">
        <f t="shared" si="65"/>
        <v>0</v>
      </c>
      <c r="R82">
        <f t="shared" si="65"/>
        <v>-80818.162364532458</v>
      </c>
    </row>
    <row r="83" spans="1:18" x14ac:dyDescent="0.25">
      <c r="F83">
        <f t="shared" ref="F83:R83" si="66">IF($F71&lt;&gt;0,-F71*$F$63/$F71+F$63,F71)</f>
        <v>0</v>
      </c>
      <c r="G83">
        <f t="shared" si="66"/>
        <v>0</v>
      </c>
      <c r="H83">
        <f t="shared" si="66"/>
        <v>0</v>
      </c>
      <c r="I83">
        <f t="shared" si="66"/>
        <v>0</v>
      </c>
      <c r="J83">
        <f t="shared" si="66"/>
        <v>0</v>
      </c>
      <c r="K83">
        <f t="shared" si="66"/>
        <v>0</v>
      </c>
      <c r="L83">
        <f t="shared" si="66"/>
        <v>0</v>
      </c>
      <c r="M83">
        <f t="shared" si="66"/>
        <v>0</v>
      </c>
      <c r="N83">
        <f t="shared" si="66"/>
        <v>-3167</v>
      </c>
      <c r="O83">
        <f t="shared" si="66"/>
        <v>3167</v>
      </c>
      <c r="P83">
        <f t="shared" si="66"/>
        <v>0</v>
      </c>
      <c r="Q83">
        <f t="shared" si="66"/>
        <v>0</v>
      </c>
      <c r="R83">
        <f t="shared" si="66"/>
        <v>0</v>
      </c>
    </row>
    <row r="84" spans="1:18" x14ac:dyDescent="0.25">
      <c r="F84">
        <f t="shared" ref="F84:R86" si="67">IF($F72&lt;&gt;0,-F72*$F$63/$F72+F$63,F72)</f>
        <v>0</v>
      </c>
      <c r="G84">
        <f t="shared" si="67"/>
        <v>14549.801127051023</v>
      </c>
      <c r="H84">
        <f t="shared" si="67"/>
        <v>4752.9062419523771</v>
      </c>
      <c r="I84">
        <f t="shared" si="67"/>
        <v>0</v>
      </c>
      <c r="J84">
        <f t="shared" si="67"/>
        <v>8741.7663637437636</v>
      </c>
      <c r="K84">
        <f t="shared" si="67"/>
        <v>2024.874834529043</v>
      </c>
      <c r="L84">
        <f t="shared" si="67"/>
        <v>8255.0344409586087</v>
      </c>
      <c r="M84">
        <f t="shared" si="67"/>
        <v>0</v>
      </c>
      <c r="N84">
        <f t="shared" si="67"/>
        <v>50277.4298503967</v>
      </c>
      <c r="O84">
        <f t="shared" si="67"/>
        <v>-107472.64550331655</v>
      </c>
      <c r="P84">
        <f t="shared" si="67"/>
        <v>18870.832644685037</v>
      </c>
      <c r="Q84">
        <f t="shared" si="67"/>
        <v>0</v>
      </c>
      <c r="R84">
        <f t="shared" si="67"/>
        <v>-55696.87034743595</v>
      </c>
    </row>
    <row r="85" spans="1:18" x14ac:dyDescent="0.25">
      <c r="F85">
        <f t="shared" si="67"/>
        <v>0</v>
      </c>
      <c r="G85">
        <f t="shared" si="67"/>
        <v>0</v>
      </c>
      <c r="H85">
        <f t="shared" si="67"/>
        <v>0</v>
      </c>
      <c r="I85">
        <f t="shared" si="67"/>
        <v>0</v>
      </c>
      <c r="J85">
        <f t="shared" si="67"/>
        <v>0</v>
      </c>
      <c r="K85">
        <f t="shared" si="67"/>
        <v>0</v>
      </c>
      <c r="L85">
        <f t="shared" si="67"/>
        <v>0</v>
      </c>
      <c r="M85">
        <f t="shared" si="67"/>
        <v>0</v>
      </c>
      <c r="N85">
        <f t="shared" si="67"/>
        <v>0</v>
      </c>
      <c r="O85">
        <f t="shared" si="67"/>
        <v>0</v>
      </c>
      <c r="P85">
        <f t="shared" si="67"/>
        <v>-4508</v>
      </c>
      <c r="Q85">
        <f t="shared" si="67"/>
        <v>4508</v>
      </c>
      <c r="R85">
        <f t="shared" si="67"/>
        <v>0</v>
      </c>
    </row>
    <row r="86" spans="1:18" x14ac:dyDescent="0.25">
      <c r="F86">
        <f t="shared" si="67"/>
        <v>1.8189894035458565E-12</v>
      </c>
      <c r="G86">
        <f t="shared" si="67"/>
        <v>15002.952280078458</v>
      </c>
      <c r="H86">
        <f t="shared" si="67"/>
        <v>40762.733306603142</v>
      </c>
      <c r="I86">
        <f t="shared" si="67"/>
        <v>270.69582502269122</v>
      </c>
      <c r="J86">
        <f t="shared" si="67"/>
        <v>8120.4357988419433</v>
      </c>
      <c r="K86">
        <f t="shared" si="67"/>
        <v>289.86781140912825</v>
      </c>
      <c r="L86">
        <f t="shared" si="67"/>
        <v>33832.73083528284</v>
      </c>
      <c r="M86">
        <f t="shared" si="67"/>
        <v>360.92776669692171</v>
      </c>
      <c r="N86">
        <f t="shared" si="67"/>
        <v>37068.496654107432</v>
      </c>
      <c r="O86">
        <f t="shared" si="67"/>
        <v>7759.9469839838148</v>
      </c>
      <c r="P86">
        <f t="shared" si="67"/>
        <v>263296.80580540438</v>
      </c>
      <c r="Q86">
        <f t="shared" si="67"/>
        <v>-406765.59306743066</v>
      </c>
      <c r="R86">
        <f t="shared" si="67"/>
        <v>-291493.97435499122</v>
      </c>
    </row>
    <row r="88" spans="1:18" x14ac:dyDescent="0.25">
      <c r="A88" s="2" t="s">
        <v>25</v>
      </c>
      <c r="G88" s="1">
        <f>IF($G77&lt;&gt;0,-G77*$G$76/$G77+G$76,G77)</f>
        <v>0</v>
      </c>
      <c r="H88" s="1">
        <f t="shared" ref="H88:R88" si="68">IF($G77&lt;&gt;0,-H77*$G$76/$G77+H$76,H77)</f>
        <v>-12958</v>
      </c>
      <c r="I88" s="1">
        <f t="shared" si="68"/>
        <v>12958</v>
      </c>
      <c r="J88" s="1">
        <f t="shared" si="68"/>
        <v>0</v>
      </c>
      <c r="K88" s="1">
        <f t="shared" si="68"/>
        <v>0</v>
      </c>
      <c r="L88" s="1">
        <f t="shared" si="68"/>
        <v>0</v>
      </c>
      <c r="M88" s="1">
        <f t="shared" si="68"/>
        <v>0</v>
      </c>
      <c r="N88" s="1">
        <f t="shared" si="68"/>
        <v>0</v>
      </c>
      <c r="O88" s="1">
        <f t="shared" si="68"/>
        <v>0</v>
      </c>
      <c r="P88" s="1">
        <f t="shared" si="68"/>
        <v>0</v>
      </c>
      <c r="Q88" s="1">
        <f t="shared" si="68"/>
        <v>0</v>
      </c>
      <c r="R88" s="1">
        <f t="shared" si="68"/>
        <v>0</v>
      </c>
    </row>
    <row r="89" spans="1:18" x14ac:dyDescent="0.25">
      <c r="G89">
        <f t="shared" ref="G89:R89" si="69">IF($G78&lt;&gt;0,-G78*$G$76/$G78+G$76,G78)</f>
        <v>0</v>
      </c>
      <c r="H89">
        <f t="shared" si="69"/>
        <v>65525.913952517214</v>
      </c>
      <c r="I89">
        <f t="shared" si="69"/>
        <v>-112389.98345114906</v>
      </c>
      <c r="J89">
        <f t="shared" si="69"/>
        <v>5459.3083488565399</v>
      </c>
      <c r="K89">
        <f t="shared" si="69"/>
        <v>1070.7824391765766</v>
      </c>
      <c r="L89">
        <f t="shared" si="69"/>
        <v>11588.085221545118</v>
      </c>
      <c r="M89">
        <f t="shared" si="69"/>
        <v>771.93305503567399</v>
      </c>
      <c r="N89">
        <f t="shared" si="69"/>
        <v>8051.1488900073236</v>
      </c>
      <c r="O89">
        <f t="shared" si="69"/>
        <v>3738.2376035997249</v>
      </c>
      <c r="P89">
        <f t="shared" si="69"/>
        <v>16184.573940410872</v>
      </c>
      <c r="Q89">
        <f t="shared" si="69"/>
        <v>0</v>
      </c>
      <c r="R89">
        <f t="shared" si="69"/>
        <v>-33035.498684478094</v>
      </c>
    </row>
    <row r="90" spans="1:18" x14ac:dyDescent="0.25">
      <c r="G90">
        <f t="shared" ref="G90:R90" si="70">IF($G79&lt;&gt;0,-G79*$G$76/$G79+G$76,G79)</f>
        <v>0</v>
      </c>
      <c r="H90">
        <f t="shared" si="70"/>
        <v>0</v>
      </c>
      <c r="I90">
        <f t="shared" si="70"/>
        <v>0</v>
      </c>
      <c r="J90">
        <f t="shared" si="70"/>
        <v>-4063</v>
      </c>
      <c r="K90">
        <f t="shared" si="70"/>
        <v>4063</v>
      </c>
      <c r="L90">
        <f t="shared" si="70"/>
        <v>0</v>
      </c>
      <c r="M90">
        <f t="shared" si="70"/>
        <v>0</v>
      </c>
      <c r="N90">
        <f t="shared" si="70"/>
        <v>0</v>
      </c>
      <c r="O90">
        <f t="shared" si="70"/>
        <v>0</v>
      </c>
      <c r="P90">
        <f t="shared" si="70"/>
        <v>0</v>
      </c>
      <c r="Q90">
        <f t="shared" si="70"/>
        <v>0</v>
      </c>
      <c r="R90">
        <f t="shared" si="70"/>
        <v>0</v>
      </c>
    </row>
    <row r="91" spans="1:18" x14ac:dyDescent="0.25">
      <c r="G91">
        <f t="shared" ref="G91:R91" si="71">IF($G80&lt;&gt;0,-G80*$G$76/$G80+G$76,G80)</f>
        <v>0</v>
      </c>
      <c r="H91">
        <f t="shared" si="71"/>
        <v>10101.939803929876</v>
      </c>
      <c r="I91">
        <f t="shared" si="71"/>
        <v>0</v>
      </c>
      <c r="J91">
        <f t="shared" si="71"/>
        <v>29890.930192986321</v>
      </c>
      <c r="K91">
        <f t="shared" si="71"/>
        <v>-51913.64394311353</v>
      </c>
      <c r="L91">
        <f t="shared" si="71"/>
        <v>10766.486841827054</v>
      </c>
      <c r="M91">
        <f t="shared" si="71"/>
        <v>0</v>
      </c>
      <c r="N91">
        <f t="shared" si="71"/>
        <v>1154.2871043702896</v>
      </c>
      <c r="O91">
        <f t="shared" si="71"/>
        <v>0</v>
      </c>
      <c r="P91">
        <f t="shared" si="71"/>
        <v>0</v>
      </c>
      <c r="Q91">
        <f t="shared" si="71"/>
        <v>0</v>
      </c>
      <c r="R91">
        <f t="shared" si="71"/>
        <v>-27045.757795034799</v>
      </c>
    </row>
    <row r="92" spans="1:18" x14ac:dyDescent="0.25">
      <c r="G92">
        <f t="shared" ref="G92:R92" si="72">IF($G81&lt;&gt;0,-G81*$G$76/$G81+G$76,G81)</f>
        <v>0</v>
      </c>
      <c r="H92">
        <f t="shared" si="72"/>
        <v>0</v>
      </c>
      <c r="I92">
        <f t="shared" si="72"/>
        <v>0</v>
      </c>
      <c r="J92">
        <f t="shared" si="72"/>
        <v>0</v>
      </c>
      <c r="K92">
        <f t="shared" si="72"/>
        <v>0</v>
      </c>
      <c r="L92">
        <f t="shared" si="72"/>
        <v>-5742</v>
      </c>
      <c r="M92">
        <f t="shared" si="72"/>
        <v>5742</v>
      </c>
      <c r="N92">
        <f t="shared" si="72"/>
        <v>0</v>
      </c>
      <c r="O92">
        <f t="shared" si="72"/>
        <v>0</v>
      </c>
      <c r="P92">
        <f t="shared" si="72"/>
        <v>0</v>
      </c>
      <c r="Q92">
        <f t="shared" si="72"/>
        <v>0</v>
      </c>
      <c r="R92">
        <f t="shared" si="72"/>
        <v>0</v>
      </c>
    </row>
    <row r="93" spans="1:18" x14ac:dyDescent="0.25">
      <c r="G93">
        <f t="shared" ref="G93:R93" si="73">IF($G82&lt;&gt;0,-G82*$G$76/$G82+G$76,G82)</f>
        <v>0</v>
      </c>
      <c r="H93">
        <f t="shared" si="73"/>
        <v>17517.840801434526</v>
      </c>
      <c r="I93">
        <f t="shared" si="73"/>
        <v>0</v>
      </c>
      <c r="J93">
        <f t="shared" si="73"/>
        <v>6305.1401979555176</v>
      </c>
      <c r="K93">
        <f t="shared" si="73"/>
        <v>1598.1723928500201</v>
      </c>
      <c r="L93">
        <f t="shared" si="73"/>
        <v>37656.789420913192</v>
      </c>
      <c r="M93">
        <f t="shared" si="73"/>
        <v>-79758.926614240336</v>
      </c>
      <c r="N93">
        <f t="shared" si="73"/>
        <v>3939.2423536287451</v>
      </c>
      <c r="O93">
        <f t="shared" si="73"/>
        <v>6111.1141920749797</v>
      </c>
      <c r="P93">
        <f t="shared" si="73"/>
        <v>6630.6272553833651</v>
      </c>
      <c r="Q93">
        <f t="shared" si="73"/>
        <v>0</v>
      </c>
      <c r="R93">
        <f t="shared" si="73"/>
        <v>-41953.435462800298</v>
      </c>
    </row>
    <row r="94" spans="1:18" x14ac:dyDescent="0.25">
      <c r="G94">
        <f t="shared" ref="G94:R94" si="74">IF($G83&lt;&gt;0,-G83*$G$76/$G83+G$76,G83)</f>
        <v>0</v>
      </c>
      <c r="H94">
        <f t="shared" si="74"/>
        <v>0</v>
      </c>
      <c r="I94">
        <f t="shared" si="74"/>
        <v>0</v>
      </c>
      <c r="J94">
        <f t="shared" si="74"/>
        <v>0</v>
      </c>
      <c r="K94">
        <f t="shared" si="74"/>
        <v>0</v>
      </c>
      <c r="L94">
        <f t="shared" si="74"/>
        <v>0</v>
      </c>
      <c r="M94">
        <f t="shared" si="74"/>
        <v>0</v>
      </c>
      <c r="N94">
        <f t="shared" si="74"/>
        <v>-3167</v>
      </c>
      <c r="O94">
        <f t="shared" si="74"/>
        <v>3167</v>
      </c>
      <c r="P94">
        <f t="shared" si="74"/>
        <v>0</v>
      </c>
      <c r="Q94">
        <f t="shared" si="74"/>
        <v>0</v>
      </c>
      <c r="R94">
        <f t="shared" si="74"/>
        <v>0</v>
      </c>
    </row>
    <row r="95" spans="1:18" x14ac:dyDescent="0.25">
      <c r="G95">
        <f t="shared" ref="G95:R97" si="75">IF($G84&lt;&gt;0,-G84*$G$76/$G84+G$76,G84)</f>
        <v>0</v>
      </c>
      <c r="H95">
        <f t="shared" si="75"/>
        <v>6938.0548871490191</v>
      </c>
      <c r="I95">
        <f t="shared" si="75"/>
        <v>0</v>
      </c>
      <c r="J95">
        <f t="shared" si="75"/>
        <v>7822.0719530346278</v>
      </c>
      <c r="K95">
        <f t="shared" si="75"/>
        <v>2176.5841167459921</v>
      </c>
      <c r="L95">
        <f t="shared" si="75"/>
        <v>6449.1786888209117</v>
      </c>
      <c r="M95">
        <f t="shared" si="75"/>
        <v>0</v>
      </c>
      <c r="N95">
        <f t="shared" si="75"/>
        <v>31146.917226911588</v>
      </c>
      <c r="O95">
        <f t="shared" si="75"/>
        <v>-66147.461685435366</v>
      </c>
      <c r="P95">
        <f t="shared" si="75"/>
        <v>11614.654812773228</v>
      </c>
      <c r="Q95">
        <f t="shared" si="75"/>
        <v>0</v>
      </c>
      <c r="R95">
        <f t="shared" si="75"/>
        <v>-38628.036521975606</v>
      </c>
    </row>
    <row r="96" spans="1:18" x14ac:dyDescent="0.25">
      <c r="G96">
        <f t="shared" si="75"/>
        <v>0</v>
      </c>
      <c r="H96">
        <f t="shared" si="75"/>
        <v>0</v>
      </c>
      <c r="I96">
        <f t="shared" si="75"/>
        <v>0</v>
      </c>
      <c r="J96">
        <f t="shared" si="75"/>
        <v>0</v>
      </c>
      <c r="K96">
        <f t="shared" si="75"/>
        <v>0</v>
      </c>
      <c r="L96">
        <f t="shared" si="75"/>
        <v>0</v>
      </c>
      <c r="M96">
        <f t="shared" si="75"/>
        <v>0</v>
      </c>
      <c r="N96">
        <f t="shared" si="75"/>
        <v>0</v>
      </c>
      <c r="O96">
        <f t="shared" si="75"/>
        <v>0</v>
      </c>
      <c r="P96">
        <f t="shared" si="75"/>
        <v>-4508</v>
      </c>
      <c r="Q96">
        <f t="shared" si="75"/>
        <v>4508</v>
      </c>
      <c r="R96">
        <f t="shared" si="75"/>
        <v>0</v>
      </c>
    </row>
    <row r="97" spans="1:18" x14ac:dyDescent="0.25">
      <c r="G97">
        <f t="shared" si="75"/>
        <v>0</v>
      </c>
      <c r="H97">
        <f t="shared" si="75"/>
        <v>28343.666456035484</v>
      </c>
      <c r="I97">
        <f t="shared" si="75"/>
        <v>161.57610360959049</v>
      </c>
      <c r="J97">
        <f t="shared" si="75"/>
        <v>7288.6946015658687</v>
      </c>
      <c r="K97">
        <f t="shared" si="75"/>
        <v>1103.3301303234155</v>
      </c>
      <c r="L97">
        <f t="shared" si="75"/>
        <v>21562.832672916113</v>
      </c>
      <c r="M97">
        <f t="shared" si="75"/>
        <v>215.43480481278738</v>
      </c>
      <c r="N97">
        <f t="shared" si="75"/>
        <v>22327.951840344795</v>
      </c>
      <c r="O97">
        <f t="shared" si="75"/>
        <v>4631.848303474927</v>
      </c>
      <c r="P97">
        <f t="shared" si="75"/>
        <v>157159.69011092838</v>
      </c>
      <c r="Q97">
        <f t="shared" si="75"/>
        <v>-242795.02502401132</v>
      </c>
      <c r="R97">
        <f t="shared" si="75"/>
        <v>-178337.97151245628</v>
      </c>
    </row>
    <row r="99" spans="1:18" x14ac:dyDescent="0.25">
      <c r="A99" s="2" t="s">
        <v>26</v>
      </c>
      <c r="H99" s="1">
        <f>IF($H89&lt;&gt;0,-H89*$H$88/$H89+H$88,H89)</f>
        <v>0</v>
      </c>
      <c r="I99" s="1">
        <f t="shared" ref="I99:R99" si="76">IF($H89&lt;&gt;0,-I89*$H$88/$H89+I$88,I89)</f>
        <v>-9267.5489120734819</v>
      </c>
      <c r="J99" s="1">
        <f t="shared" si="76"/>
        <v>1079.5990977820686</v>
      </c>
      <c r="K99" s="1">
        <f t="shared" si="76"/>
        <v>211.75132111708695</v>
      </c>
      <c r="L99" s="1">
        <f t="shared" si="76"/>
        <v>2291.5881556355343</v>
      </c>
      <c r="M99" s="1">
        <f t="shared" si="76"/>
        <v>152.65271285495749</v>
      </c>
      <c r="N99" s="1">
        <f t="shared" si="76"/>
        <v>1592.1454738092536</v>
      </c>
      <c r="O99" s="1">
        <f t="shared" si="76"/>
        <v>739.25077798299651</v>
      </c>
      <c r="P99" s="1">
        <f t="shared" si="76"/>
        <v>3200.5613728915805</v>
      </c>
      <c r="Q99" s="1">
        <f t="shared" si="76"/>
        <v>0</v>
      </c>
      <c r="R99" s="1">
        <f t="shared" si="76"/>
        <v>-6532.8961647702808</v>
      </c>
    </row>
    <row r="100" spans="1:18" x14ac:dyDescent="0.25">
      <c r="H100">
        <f t="shared" ref="H100:R100" si="77">IF($H90&lt;&gt;0,-H90*$H$88/$H90+H$88,H90)</f>
        <v>0</v>
      </c>
      <c r="I100">
        <f t="shared" si="77"/>
        <v>0</v>
      </c>
      <c r="J100">
        <f t="shared" si="77"/>
        <v>-4063</v>
      </c>
      <c r="K100">
        <f t="shared" si="77"/>
        <v>4063</v>
      </c>
      <c r="L100">
        <f t="shared" si="77"/>
        <v>0</v>
      </c>
      <c r="M100">
        <f t="shared" si="77"/>
        <v>0</v>
      </c>
      <c r="N100">
        <f t="shared" si="77"/>
        <v>0</v>
      </c>
      <c r="O100">
        <f t="shared" si="77"/>
        <v>0</v>
      </c>
      <c r="P100">
        <f t="shared" si="77"/>
        <v>0</v>
      </c>
      <c r="Q100">
        <f t="shared" si="77"/>
        <v>0</v>
      </c>
      <c r="R100">
        <f t="shared" si="77"/>
        <v>0</v>
      </c>
    </row>
    <row r="101" spans="1:18" x14ac:dyDescent="0.25">
      <c r="H101">
        <f t="shared" ref="H101:R101" si="78">IF($H91&lt;&gt;0,-H91*$H$88/$H91+H$88,H91)</f>
        <v>0</v>
      </c>
      <c r="I101">
        <f t="shared" si="78"/>
        <v>12958</v>
      </c>
      <c r="J101">
        <f t="shared" si="78"/>
        <v>38341.81166769952</v>
      </c>
      <c r="K101">
        <f t="shared" si="78"/>
        <v>-66590.873760024901</v>
      </c>
      <c r="L101">
        <f t="shared" si="78"/>
        <v>13810.430392994589</v>
      </c>
      <c r="M101">
        <f t="shared" si="78"/>
        <v>0</v>
      </c>
      <c r="N101">
        <f t="shared" si="78"/>
        <v>1480.6316993308074</v>
      </c>
      <c r="O101">
        <f t="shared" si="78"/>
        <v>0</v>
      </c>
      <c r="P101">
        <f t="shared" si="78"/>
        <v>0</v>
      </c>
      <c r="Q101">
        <f t="shared" si="78"/>
        <v>0</v>
      </c>
      <c r="R101">
        <f t="shared" si="78"/>
        <v>-34692.240927007377</v>
      </c>
    </row>
    <row r="102" spans="1:18" x14ac:dyDescent="0.25">
      <c r="H102">
        <f t="shared" ref="H102:R102" si="79">IF($H92&lt;&gt;0,-H92*$H$88/$H92+H$88,H92)</f>
        <v>0</v>
      </c>
      <c r="I102">
        <f t="shared" si="79"/>
        <v>0</v>
      </c>
      <c r="J102">
        <f t="shared" si="79"/>
        <v>0</v>
      </c>
      <c r="K102">
        <f t="shared" si="79"/>
        <v>0</v>
      </c>
      <c r="L102">
        <f t="shared" si="79"/>
        <v>-5742</v>
      </c>
      <c r="M102">
        <f t="shared" si="79"/>
        <v>5742</v>
      </c>
      <c r="N102">
        <f t="shared" si="79"/>
        <v>0</v>
      </c>
      <c r="O102">
        <f t="shared" si="79"/>
        <v>0</v>
      </c>
      <c r="P102">
        <f t="shared" si="79"/>
        <v>0</v>
      </c>
      <c r="Q102">
        <f t="shared" si="79"/>
        <v>0</v>
      </c>
      <c r="R102">
        <f t="shared" si="79"/>
        <v>0</v>
      </c>
    </row>
    <row r="103" spans="1:18" x14ac:dyDescent="0.25">
      <c r="H103">
        <f t="shared" ref="H103:R103" si="80">IF($H93&lt;&gt;0,-H93*$H$88/$H93+H$88,H93)</f>
        <v>0</v>
      </c>
      <c r="I103">
        <f t="shared" si="80"/>
        <v>12958</v>
      </c>
      <c r="J103">
        <f t="shared" si="80"/>
        <v>4663.9313378402821</v>
      </c>
      <c r="K103">
        <f t="shared" si="80"/>
        <v>1182.1729687630625</v>
      </c>
      <c r="L103">
        <f t="shared" si="80"/>
        <v>27854.841406952088</v>
      </c>
      <c r="M103">
        <f t="shared" si="80"/>
        <v>-58997.920050894187</v>
      </c>
      <c r="N103">
        <f t="shared" si="80"/>
        <v>2913.8695229004056</v>
      </c>
      <c r="O103">
        <f t="shared" si="80"/>
        <v>4520.4097125042344</v>
      </c>
      <c r="P103">
        <f t="shared" si="80"/>
        <v>4904.6951019341232</v>
      </c>
      <c r="Q103">
        <f t="shared" si="80"/>
        <v>0</v>
      </c>
      <c r="R103">
        <f t="shared" si="80"/>
        <v>-31033.083522625031</v>
      </c>
    </row>
    <row r="104" spans="1:18" x14ac:dyDescent="0.25">
      <c r="H104">
        <f t="shared" ref="H104:R104" si="81">IF($H94&lt;&gt;0,-H94*$H$88/$H94+H$88,H94)</f>
        <v>0</v>
      </c>
      <c r="I104">
        <f t="shared" si="81"/>
        <v>0</v>
      </c>
      <c r="J104">
        <f t="shared" si="81"/>
        <v>0</v>
      </c>
      <c r="K104">
        <f t="shared" si="81"/>
        <v>0</v>
      </c>
      <c r="L104">
        <f t="shared" si="81"/>
        <v>0</v>
      </c>
      <c r="M104">
        <f t="shared" si="81"/>
        <v>0</v>
      </c>
      <c r="N104">
        <f t="shared" si="81"/>
        <v>-3167</v>
      </c>
      <c r="O104">
        <f t="shared" si="81"/>
        <v>3167</v>
      </c>
      <c r="P104">
        <f t="shared" si="81"/>
        <v>0</v>
      </c>
      <c r="Q104">
        <f t="shared" si="81"/>
        <v>0</v>
      </c>
      <c r="R104">
        <f t="shared" si="81"/>
        <v>0</v>
      </c>
    </row>
    <row r="105" spans="1:18" x14ac:dyDescent="0.25">
      <c r="H105">
        <f t="shared" ref="H105:R105" si="82">IF($H95&lt;&gt;0,-H95*$H$88/$H95+H$88,H95)</f>
        <v>0</v>
      </c>
      <c r="I105">
        <f t="shared" si="82"/>
        <v>12958</v>
      </c>
      <c r="J105">
        <f t="shared" si="82"/>
        <v>14609.052539374306</v>
      </c>
      <c r="K105">
        <f t="shared" si="82"/>
        <v>4065.1418075454585</v>
      </c>
      <c r="L105">
        <f t="shared" si="82"/>
        <v>12044.940377241852</v>
      </c>
      <c r="M105">
        <f t="shared" si="82"/>
        <v>0</v>
      </c>
      <c r="N105">
        <f t="shared" si="82"/>
        <v>58172.176494868887</v>
      </c>
      <c r="O105">
        <f t="shared" si="82"/>
        <v>-123541.65864376527</v>
      </c>
      <c r="P105">
        <f t="shared" si="82"/>
        <v>21692.347424734766</v>
      </c>
      <c r="Q105">
        <f t="shared" si="82"/>
        <v>0</v>
      </c>
      <c r="R105">
        <f t="shared" si="82"/>
        <v>-72144.441834682904</v>
      </c>
    </row>
    <row r="106" spans="1:18" x14ac:dyDescent="0.25">
      <c r="H106">
        <f t="shared" ref="H106:R106" si="83">IF($H96&lt;&gt;0,-H96*$H$88/$H96+H$88,H96)</f>
        <v>0</v>
      </c>
      <c r="I106">
        <f t="shared" si="83"/>
        <v>0</v>
      </c>
      <c r="J106">
        <f t="shared" si="83"/>
        <v>0</v>
      </c>
      <c r="K106">
        <f t="shared" si="83"/>
        <v>0</v>
      </c>
      <c r="L106">
        <f t="shared" si="83"/>
        <v>0</v>
      </c>
      <c r="M106">
        <f t="shared" si="83"/>
        <v>0</v>
      </c>
      <c r="N106">
        <f t="shared" si="83"/>
        <v>0</v>
      </c>
      <c r="O106">
        <f t="shared" si="83"/>
        <v>0</v>
      </c>
      <c r="P106">
        <f t="shared" si="83"/>
        <v>-4508</v>
      </c>
      <c r="Q106">
        <f t="shared" si="83"/>
        <v>4508</v>
      </c>
      <c r="R106">
        <f t="shared" si="83"/>
        <v>0</v>
      </c>
    </row>
    <row r="107" spans="1:18" x14ac:dyDescent="0.25">
      <c r="H107">
        <f t="shared" ref="H107:R107" si="84">IF($H97&lt;&gt;0,-H97*$H$88/$H97+H$88,H97)</f>
        <v>0</v>
      </c>
      <c r="I107">
        <f t="shared" si="84"/>
        <v>13031.86846559956</v>
      </c>
      <c r="J107">
        <f t="shared" si="84"/>
        <v>3332.2049140533495</v>
      </c>
      <c r="K107">
        <f t="shared" si="84"/>
        <v>504.41434071019535</v>
      </c>
      <c r="L107">
        <f t="shared" si="84"/>
        <v>9857.9760740921829</v>
      </c>
      <c r="M107">
        <f t="shared" si="84"/>
        <v>98.491287466080664</v>
      </c>
      <c r="N107">
        <f t="shared" si="84"/>
        <v>10207.769005324963</v>
      </c>
      <c r="O107">
        <f t="shared" si="84"/>
        <v>2117.5626805207335</v>
      </c>
      <c r="P107">
        <f t="shared" si="84"/>
        <v>71849.394206505836</v>
      </c>
      <c r="Q107">
        <f t="shared" si="84"/>
        <v>-110999.68097427289</v>
      </c>
      <c r="R107">
        <f t="shared" si="84"/>
        <v>-81531.563266273413</v>
      </c>
    </row>
    <row r="109" spans="1:18" x14ac:dyDescent="0.25">
      <c r="A109" s="2" t="s">
        <v>27</v>
      </c>
      <c r="I109" s="1">
        <f>IF($I100&lt;&gt;0,-I100*$I$99/$I100+I$99,I100)</f>
        <v>0</v>
      </c>
      <c r="J109" s="1">
        <f t="shared" ref="J109:R109" si="85">IF($I100&lt;&gt;0,-J100*$I$99/$I100+J$99,J100)</f>
        <v>-4063</v>
      </c>
      <c r="K109" s="1">
        <f t="shared" si="85"/>
        <v>4063</v>
      </c>
      <c r="L109" s="1">
        <f t="shared" si="85"/>
        <v>0</v>
      </c>
      <c r="M109" s="1">
        <f t="shared" si="85"/>
        <v>0</v>
      </c>
      <c r="N109" s="1">
        <f t="shared" si="85"/>
        <v>0</v>
      </c>
      <c r="O109" s="1">
        <f t="shared" si="85"/>
        <v>0</v>
      </c>
      <c r="P109" s="1">
        <f t="shared" si="85"/>
        <v>0</v>
      </c>
      <c r="Q109" s="1">
        <f t="shared" si="85"/>
        <v>0</v>
      </c>
      <c r="R109" s="1">
        <f t="shared" si="85"/>
        <v>0</v>
      </c>
    </row>
    <row r="110" spans="1:18" x14ac:dyDescent="0.25">
      <c r="I110">
        <f t="shared" ref="I110:R110" si="86">IF($I101&lt;&gt;0,-I101*$I$99/$I101+I$99,I101)</f>
        <v>0</v>
      </c>
      <c r="J110">
        <f t="shared" si="86"/>
        <v>28501.625259837558</v>
      </c>
      <c r="K110">
        <f t="shared" si="86"/>
        <v>-47413.976389080577</v>
      </c>
      <c r="L110">
        <f t="shared" si="86"/>
        <v>12168.794450114894</v>
      </c>
      <c r="M110">
        <f t="shared" si="86"/>
        <v>152.65271285495749</v>
      </c>
      <c r="N110">
        <f t="shared" si="86"/>
        <v>2651.0918153985986</v>
      </c>
      <c r="O110">
        <f t="shared" si="86"/>
        <v>739.25077798299651</v>
      </c>
      <c r="P110">
        <f t="shared" si="86"/>
        <v>3200.5613728915805</v>
      </c>
      <c r="Q110">
        <f t="shared" si="86"/>
        <v>0</v>
      </c>
      <c r="R110">
        <f t="shared" si="86"/>
        <v>-31344.752906588335</v>
      </c>
    </row>
    <row r="111" spans="1:18" x14ac:dyDescent="0.25">
      <c r="I111">
        <f t="shared" ref="I111:R111" si="87">IF($I102&lt;&gt;0,-I102*$I$99/$I102+I$99,I102)</f>
        <v>0</v>
      </c>
      <c r="J111">
        <f t="shared" si="87"/>
        <v>0</v>
      </c>
      <c r="K111">
        <f t="shared" si="87"/>
        <v>0</v>
      </c>
      <c r="L111">
        <f t="shared" si="87"/>
        <v>-5742</v>
      </c>
      <c r="M111">
        <f t="shared" si="87"/>
        <v>5742</v>
      </c>
      <c r="N111">
        <f t="shared" si="87"/>
        <v>0</v>
      </c>
      <c r="O111">
        <f t="shared" si="87"/>
        <v>0</v>
      </c>
      <c r="P111">
        <f t="shared" si="87"/>
        <v>0</v>
      </c>
      <c r="Q111">
        <f t="shared" si="87"/>
        <v>0</v>
      </c>
      <c r="R111">
        <f t="shared" si="87"/>
        <v>0</v>
      </c>
    </row>
    <row r="112" spans="1:18" x14ac:dyDescent="0.25">
      <c r="I112">
        <f t="shared" ref="I112:R112" si="88">IF($I103&lt;&gt;0,-I103*$I$99/$I103+I$99,I103)</f>
        <v>0</v>
      </c>
      <c r="J112">
        <f t="shared" si="88"/>
        <v>4415.2382238807822</v>
      </c>
      <c r="K112">
        <f t="shared" si="88"/>
        <v>1057.2402708425691</v>
      </c>
      <c r="L112">
        <f t="shared" si="88"/>
        <v>22213.343455602982</v>
      </c>
      <c r="M112">
        <f t="shared" si="88"/>
        <v>-42042.601939272121</v>
      </c>
      <c r="N112">
        <f t="shared" si="88"/>
        <v>3676.1421034496097</v>
      </c>
      <c r="O112">
        <f t="shared" si="88"/>
        <v>3972.2433781716845</v>
      </c>
      <c r="P112">
        <f t="shared" si="88"/>
        <v>6708.3945073244959</v>
      </c>
      <c r="Q112">
        <f t="shared" si="88"/>
        <v>0</v>
      </c>
      <c r="R112">
        <f t="shared" si="88"/>
        <v>-28727.727113866524</v>
      </c>
    </row>
    <row r="113" spans="1:18" x14ac:dyDescent="0.25">
      <c r="I113">
        <f t="shared" ref="I113:R113" si="89">IF($I104&lt;&gt;0,-I104*$I$99/$I104+I$99,I104)</f>
        <v>0</v>
      </c>
      <c r="J113">
        <f t="shared" si="89"/>
        <v>0</v>
      </c>
      <c r="K113">
        <f t="shared" si="89"/>
        <v>0</v>
      </c>
      <c r="L113">
        <f t="shared" si="89"/>
        <v>0</v>
      </c>
      <c r="M113">
        <f t="shared" si="89"/>
        <v>0</v>
      </c>
      <c r="N113">
        <f t="shared" si="89"/>
        <v>-3167</v>
      </c>
      <c r="O113">
        <f t="shared" si="89"/>
        <v>3167</v>
      </c>
      <c r="P113">
        <f t="shared" si="89"/>
        <v>0</v>
      </c>
      <c r="Q113">
        <f t="shared" si="89"/>
        <v>0</v>
      </c>
      <c r="R113">
        <f t="shared" si="89"/>
        <v>0</v>
      </c>
    </row>
    <row r="114" spans="1:18" x14ac:dyDescent="0.25">
      <c r="I114">
        <f t="shared" ref="I114:R114" si="90">IF($I105&lt;&gt;0,-I105*$I$99/$I105+I$99,I105)</f>
        <v>0</v>
      </c>
      <c r="J114">
        <f t="shared" si="90"/>
        <v>11527.979169375116</v>
      </c>
      <c r="K114">
        <f t="shared" si="90"/>
        <v>3119.1367614583696</v>
      </c>
      <c r="L114">
        <f t="shared" si="90"/>
        <v>10906.117719541822</v>
      </c>
      <c r="M114">
        <f t="shared" si="90"/>
        <v>152.65271285495749</v>
      </c>
      <c r="N114">
        <f t="shared" si="90"/>
        <v>43196.829143200259</v>
      </c>
      <c r="O114">
        <f t="shared" si="90"/>
        <v>-87617.622517261669</v>
      </c>
      <c r="P114">
        <f t="shared" si="90"/>
        <v>18714.907010831132</v>
      </c>
      <c r="Q114">
        <f t="shared" si="90"/>
        <v>0</v>
      </c>
      <c r="R114">
        <f t="shared" si="90"/>
        <v>-58130.530324143961</v>
      </c>
    </row>
    <row r="115" spans="1:18" x14ac:dyDescent="0.25">
      <c r="I115">
        <f t="shared" ref="I115:R115" si="91">IF($I106&lt;&gt;0,-I106*$I$99/$I106+I$99,I106)</f>
        <v>0</v>
      </c>
      <c r="J115">
        <f t="shared" si="91"/>
        <v>0</v>
      </c>
      <c r="K115">
        <f t="shared" si="91"/>
        <v>0</v>
      </c>
      <c r="L115">
        <f t="shared" si="91"/>
        <v>0</v>
      </c>
      <c r="M115">
        <f t="shared" si="91"/>
        <v>0</v>
      </c>
      <c r="N115">
        <f t="shared" si="91"/>
        <v>0</v>
      </c>
      <c r="O115">
        <f t="shared" si="91"/>
        <v>0</v>
      </c>
      <c r="P115">
        <f t="shared" si="91"/>
        <v>-4508</v>
      </c>
      <c r="Q115">
        <f t="shared" si="91"/>
        <v>4508</v>
      </c>
      <c r="R115">
        <f t="shared" si="91"/>
        <v>0</v>
      </c>
    </row>
    <row r="116" spans="1:18" x14ac:dyDescent="0.25">
      <c r="I116">
        <f t="shared" ref="I116:R116" si="92">IF($I107&lt;&gt;0,-I107*$I$99/$I107+I$99,I107)</f>
        <v>0</v>
      </c>
      <c r="J116">
        <f t="shared" si="92"/>
        <v>3449.2801690389724</v>
      </c>
      <c r="K116">
        <f t="shared" si="92"/>
        <v>570.46308887493956</v>
      </c>
      <c r="L116">
        <f t="shared" si="92"/>
        <v>9302.0391651636019</v>
      </c>
      <c r="M116">
        <f t="shared" si="92"/>
        <v>222.69430561768786</v>
      </c>
      <c r="N116">
        <f t="shared" si="92"/>
        <v>8851.3499992168418</v>
      </c>
      <c r="O116">
        <f t="shared" si="92"/>
        <v>2245.1450223816992</v>
      </c>
      <c r="P116">
        <f t="shared" si="92"/>
        <v>54295.903293303381</v>
      </c>
      <c r="Q116">
        <f t="shared" si="92"/>
        <v>-78936.875043597131</v>
      </c>
      <c r="R116">
        <f t="shared" si="92"/>
        <v>-64513.664804552551</v>
      </c>
    </row>
    <row r="118" spans="1:18" x14ac:dyDescent="0.25">
      <c r="A118" s="2" t="s">
        <v>28</v>
      </c>
      <c r="J118" s="1">
        <f>IF($J110&lt;&gt;0,-J110*$J$109/$J110+J$109,J110)</f>
        <v>0</v>
      </c>
      <c r="K118" s="1">
        <f>IF($J110&lt;&gt;0,-K110*$J$109/$J110+K$109,K110)</f>
        <v>-2696.0175757553397</v>
      </c>
      <c r="L118" s="1">
        <f>IF($J110&lt;&gt;0,-L110*$J$109/$J110+L$109,L110)</f>
        <v>1734.7014915842944</v>
      </c>
      <c r="M118" s="1">
        <f>IF($J110&lt;&gt;0,-M110*$J$109/$J110+M$109,M110)</f>
        <v>21.761144028641514</v>
      </c>
      <c r="N118" s="1">
        <f>IF($J110&lt;&gt;0,-N110*$J$109/$J110+N$109,N110)</f>
        <v>377.92181841443158</v>
      </c>
      <c r="O118" s="1">
        <f>IF($J110&lt;&gt;0,-O110*$J$109/$J110+O$109,O110)</f>
        <v>105.38261883533141</v>
      </c>
      <c r="P118" s="1">
        <f>IF($J110&lt;&gt;0,-P110*$J$109/$J110+P$109,P110)</f>
        <v>456.25050289264124</v>
      </c>
      <c r="Q118" s="1">
        <f>IF($J110&lt;&gt;0,-Q110*$J$109/$J110+Q$109,Q110)</f>
        <v>0</v>
      </c>
      <c r="R118" s="1">
        <f>IF($J110&lt;&gt;0,-R110*$J$109/$J110+R$109,R110)</f>
        <v>-4468.2971549319373</v>
      </c>
    </row>
    <row r="119" spans="1:18" x14ac:dyDescent="0.25">
      <c r="J119">
        <f t="shared" ref="J119:R119" si="93">IF($J111&lt;&gt;0,-J111*$J$109/$J111+J$109,J111)</f>
        <v>0</v>
      </c>
      <c r="K119">
        <f t="shared" si="93"/>
        <v>0</v>
      </c>
      <c r="L119">
        <f t="shared" si="93"/>
        <v>-5742</v>
      </c>
      <c r="M119">
        <f t="shared" si="93"/>
        <v>5742</v>
      </c>
      <c r="N119">
        <f t="shared" si="93"/>
        <v>0</v>
      </c>
      <c r="O119">
        <f t="shared" si="93"/>
        <v>0</v>
      </c>
      <c r="P119">
        <f t="shared" si="93"/>
        <v>0</v>
      </c>
      <c r="Q119">
        <f t="shared" si="93"/>
        <v>0</v>
      </c>
      <c r="R119">
        <f t="shared" si="93"/>
        <v>0</v>
      </c>
    </row>
    <row r="120" spans="1:18" x14ac:dyDescent="0.25">
      <c r="J120">
        <f t="shared" ref="J120:R120" si="94">IF($J112&lt;&gt;0,-J112*$J$109/$J112+J$109,J112)</f>
        <v>0</v>
      </c>
      <c r="K120">
        <f t="shared" si="94"/>
        <v>5035.8959124334087</v>
      </c>
      <c r="L120">
        <f t="shared" si="94"/>
        <v>20441.21061734853</v>
      </c>
      <c r="M120">
        <f t="shared" si="94"/>
        <v>-38688.533442057596</v>
      </c>
      <c r="N120">
        <f t="shared" si="94"/>
        <v>3382.8673808652602</v>
      </c>
      <c r="O120">
        <f t="shared" si="94"/>
        <v>3655.3463317605433</v>
      </c>
      <c r="P120">
        <f t="shared" si="94"/>
        <v>6173.2131996498547</v>
      </c>
      <c r="Q120">
        <f t="shared" si="94"/>
        <v>0</v>
      </c>
      <c r="R120">
        <f t="shared" si="94"/>
        <v>-26435.890736841771</v>
      </c>
    </row>
    <row r="121" spans="1:18" x14ac:dyDescent="0.25">
      <c r="J121">
        <f t="shared" ref="J121:R121" si="95">IF($J113&lt;&gt;0,-J113*$J$109/$J113+J$109,J113)</f>
        <v>0</v>
      </c>
      <c r="K121">
        <f t="shared" si="95"/>
        <v>0</v>
      </c>
      <c r="L121">
        <f t="shared" si="95"/>
        <v>0</v>
      </c>
      <c r="M121">
        <f t="shared" si="95"/>
        <v>0</v>
      </c>
      <c r="N121">
        <f t="shared" si="95"/>
        <v>-3167</v>
      </c>
      <c r="O121">
        <f t="shared" si="95"/>
        <v>3167</v>
      </c>
      <c r="P121">
        <f t="shared" si="95"/>
        <v>0</v>
      </c>
      <c r="Q121">
        <f t="shared" si="95"/>
        <v>0</v>
      </c>
      <c r="R121">
        <f t="shared" si="95"/>
        <v>0</v>
      </c>
    </row>
    <row r="122" spans="1:18" x14ac:dyDescent="0.25">
      <c r="J122">
        <f t="shared" ref="J122:R122" si="96">IF($J114&lt;&gt;0,-J114*$J$109/$J114+J$109,J114)</f>
        <v>0</v>
      </c>
      <c r="K122">
        <f t="shared" si="96"/>
        <v>5162.3299411463377</v>
      </c>
      <c r="L122">
        <f t="shared" si="96"/>
        <v>3843.826887908956</v>
      </c>
      <c r="M122">
        <f t="shared" si="96"/>
        <v>53.801968516509056</v>
      </c>
      <c r="N122">
        <f t="shared" si="96"/>
        <v>15224.586567182032</v>
      </c>
      <c r="O122">
        <f t="shared" si="96"/>
        <v>-30880.555477871399</v>
      </c>
      <c r="P122">
        <f t="shared" si="96"/>
        <v>6596.0101131175643</v>
      </c>
      <c r="Q122">
        <f t="shared" si="96"/>
        <v>0</v>
      </c>
      <c r="R122">
        <f t="shared" si="96"/>
        <v>-20487.922578350695</v>
      </c>
    </row>
    <row r="123" spans="1:18" x14ac:dyDescent="0.25">
      <c r="J123">
        <f t="shared" ref="J123:R124" si="97">IF($J115&lt;&gt;0,-J115*$J$109/$J115+J$109,J115)</f>
        <v>0</v>
      </c>
      <c r="K123">
        <f t="shared" si="97"/>
        <v>0</v>
      </c>
      <c r="L123">
        <f t="shared" si="97"/>
        <v>0</v>
      </c>
      <c r="M123">
        <f t="shared" si="97"/>
        <v>0</v>
      </c>
      <c r="N123">
        <f t="shared" si="97"/>
        <v>0</v>
      </c>
      <c r="O123">
        <f t="shared" si="97"/>
        <v>0</v>
      </c>
      <c r="P123">
        <f t="shared" si="97"/>
        <v>-4508</v>
      </c>
      <c r="Q123">
        <f t="shared" si="97"/>
        <v>4508</v>
      </c>
      <c r="R123">
        <f t="shared" si="97"/>
        <v>0</v>
      </c>
    </row>
    <row r="124" spans="1:18" x14ac:dyDescent="0.25">
      <c r="J124">
        <f t="shared" si="97"/>
        <v>0</v>
      </c>
      <c r="K124">
        <f t="shared" si="97"/>
        <v>4734.9638349194047</v>
      </c>
      <c r="L124">
        <f t="shared" si="97"/>
        <v>10957.12243595156</v>
      </c>
      <c r="M124">
        <f t="shared" si="97"/>
        <v>262.31761973013641</v>
      </c>
      <c r="N124">
        <f t="shared" si="97"/>
        <v>10426.243530353157</v>
      </c>
      <c r="O124">
        <f t="shared" si="97"/>
        <v>2644.6167834717794</v>
      </c>
      <c r="P124">
        <f t="shared" si="97"/>
        <v>63956.606674300885</v>
      </c>
      <c r="Q124">
        <f t="shared" si="97"/>
        <v>-92981.870878726942</v>
      </c>
      <c r="R124">
        <f t="shared" si="97"/>
        <v>-75992.383122049432</v>
      </c>
    </row>
    <row r="126" spans="1:18" x14ac:dyDescent="0.25">
      <c r="A126" s="2" t="s">
        <v>29</v>
      </c>
      <c r="K126" s="1">
        <f>IF($K119&lt;&gt;0,-K119*$K$118/$K119+K$118,K119)</f>
        <v>0</v>
      </c>
      <c r="L126" s="1">
        <f>IF($K119&lt;&gt;0,-L119*$K$118/$K119+L$118,L119)</f>
        <v>-5742</v>
      </c>
      <c r="M126" s="1">
        <f>IF($K119&lt;&gt;0,-M119*$K$118/$K119+M$118,M119)</f>
        <v>5742</v>
      </c>
      <c r="N126" s="1">
        <f>IF($K119&lt;&gt;0,-N119*$K$118/$K119+N$118,N119)</f>
        <v>0</v>
      </c>
      <c r="O126" s="1">
        <f t="shared" ref="O126:R126" si="98">IF($K119&lt;&gt;0,-O119*$K$118/$K119+O$118,O119)</f>
        <v>0</v>
      </c>
      <c r="P126" s="1">
        <f t="shared" si="98"/>
        <v>0</v>
      </c>
      <c r="Q126" s="1">
        <f t="shared" si="98"/>
        <v>0</v>
      </c>
      <c r="R126" s="1">
        <f t="shared" si="98"/>
        <v>0</v>
      </c>
    </row>
    <row r="127" spans="1:18" x14ac:dyDescent="0.25">
      <c r="K127">
        <f t="shared" ref="K127:R127" si="99">IF($K120&lt;&gt;0,-K120*$K$118/$K120+K$118,K120)</f>
        <v>0</v>
      </c>
      <c r="L127">
        <f t="shared" si="99"/>
        <v>12678.109388086767</v>
      </c>
      <c r="M127">
        <f t="shared" si="99"/>
        <v>-20690.534732155193</v>
      </c>
      <c r="N127">
        <f t="shared" si="99"/>
        <v>2188.9739278801221</v>
      </c>
      <c r="O127">
        <f t="shared" si="99"/>
        <v>2062.3090778528749</v>
      </c>
      <c r="P127">
        <f t="shared" si="99"/>
        <v>3761.1423383354258</v>
      </c>
      <c r="Q127">
        <f t="shared" si="99"/>
        <v>0</v>
      </c>
      <c r="R127">
        <f t="shared" si="99"/>
        <v>-18621.017405028178</v>
      </c>
    </row>
    <row r="128" spans="1:18" x14ac:dyDescent="0.25">
      <c r="K128">
        <f t="shared" ref="K128:R128" si="100">IF($K121&lt;&gt;0,-K121*$K$118/$K121+K$118,K121)</f>
        <v>0</v>
      </c>
      <c r="L128">
        <f t="shared" si="100"/>
        <v>0</v>
      </c>
      <c r="M128">
        <f t="shared" si="100"/>
        <v>0</v>
      </c>
      <c r="N128">
        <f t="shared" si="100"/>
        <v>-3167</v>
      </c>
      <c r="O128">
        <f t="shared" si="100"/>
        <v>3167</v>
      </c>
      <c r="P128">
        <f t="shared" si="100"/>
        <v>0</v>
      </c>
      <c r="Q128">
        <f t="shared" si="100"/>
        <v>0</v>
      </c>
      <c r="R128">
        <f t="shared" si="100"/>
        <v>0</v>
      </c>
    </row>
    <row r="129" spans="1:18" x14ac:dyDescent="0.25">
      <c r="K129">
        <f t="shared" ref="K129:R129" si="101">IF($K122&lt;&gt;0,-K122*$K$118/$K122+K$118,K122)</f>
        <v>0</v>
      </c>
      <c r="L129">
        <f t="shared" si="101"/>
        <v>3742.133206741637</v>
      </c>
      <c r="M129">
        <f t="shared" si="101"/>
        <v>49.859125828412743</v>
      </c>
      <c r="N129">
        <f t="shared" si="101"/>
        <v>8328.934914570169</v>
      </c>
      <c r="O129">
        <f t="shared" si="101"/>
        <v>-16021.932230579692</v>
      </c>
      <c r="P129">
        <f t="shared" si="101"/>
        <v>3901.0049834394749</v>
      </c>
      <c r="Q129">
        <f t="shared" si="101"/>
        <v>0</v>
      </c>
      <c r="R129">
        <f t="shared" si="101"/>
        <v>-15168.078066200575</v>
      </c>
    </row>
    <row r="130" spans="1:18" x14ac:dyDescent="0.25">
      <c r="K130">
        <f t="shared" ref="K130:R130" si="102">IF($K123&lt;&gt;0,-K123*$K$118/$K123+K$118,K123)</f>
        <v>0</v>
      </c>
      <c r="L130">
        <f t="shared" si="102"/>
        <v>0</v>
      </c>
      <c r="M130">
        <f t="shared" si="102"/>
        <v>0</v>
      </c>
      <c r="N130">
        <f t="shared" si="102"/>
        <v>0</v>
      </c>
      <c r="O130">
        <f t="shared" si="102"/>
        <v>0</v>
      </c>
      <c r="P130">
        <f t="shared" si="102"/>
        <v>-4508</v>
      </c>
      <c r="Q130">
        <f t="shared" si="102"/>
        <v>4508</v>
      </c>
      <c r="R130">
        <f t="shared" si="102"/>
        <v>0</v>
      </c>
    </row>
    <row r="131" spans="1:18" x14ac:dyDescent="0.25">
      <c r="K131">
        <f t="shared" ref="K131:R131" si="103">IF($K124&lt;&gt;0,-K124*$K$118/$K124+K$118,K124)</f>
        <v>0</v>
      </c>
      <c r="L131">
        <f t="shared" si="103"/>
        <v>7973.5230954944727</v>
      </c>
      <c r="M131">
        <f t="shared" si="103"/>
        <v>171.12087260929098</v>
      </c>
      <c r="N131">
        <f t="shared" si="103"/>
        <v>6314.4689150652703</v>
      </c>
      <c r="O131">
        <f t="shared" si="103"/>
        <v>1611.1878536706322</v>
      </c>
      <c r="P131">
        <f t="shared" si="103"/>
        <v>36872.185595778392</v>
      </c>
      <c r="Q131">
        <f t="shared" si="103"/>
        <v>-52942.486332618071</v>
      </c>
      <c r="R131">
        <f t="shared" si="103"/>
        <v>-47737.223310112589</v>
      </c>
    </row>
    <row r="133" spans="1:18" x14ac:dyDescent="0.25">
      <c r="A133" s="2" t="s">
        <v>30</v>
      </c>
      <c r="L133" s="1">
        <f>IF($L127&lt;&gt;0,-L127*$L$126/$L127+L$126,L127)</f>
        <v>0</v>
      </c>
      <c r="M133" s="1">
        <f t="shared" ref="M133:R133" si="104">IF($L127&lt;&gt;0,-M127*$L$126/$L127+M$126,M127)</f>
        <v>-3628.8806885411959</v>
      </c>
      <c r="N133" s="1">
        <f t="shared" si="104"/>
        <v>991.40083975757864</v>
      </c>
      <c r="O133" s="1">
        <f t="shared" si="104"/>
        <v>934.03348737143472</v>
      </c>
      <c r="P133" s="1">
        <f t="shared" si="104"/>
        <v>1703.446361412181</v>
      </c>
      <c r="Q133" s="1">
        <f t="shared" si="104"/>
        <v>0</v>
      </c>
      <c r="R133" s="1">
        <f t="shared" si="104"/>
        <v>-8433.5825371678075</v>
      </c>
    </row>
    <row r="134" spans="1:18" x14ac:dyDescent="0.25">
      <c r="L134">
        <f t="shared" ref="L134:R134" si="105">IF($L128&lt;&gt;0,-L128*$L$126/$L128+L$126,L128)</f>
        <v>0</v>
      </c>
      <c r="M134">
        <f t="shared" si="105"/>
        <v>0</v>
      </c>
      <c r="N134">
        <f t="shared" si="105"/>
        <v>-3167</v>
      </c>
      <c r="O134">
        <f t="shared" si="105"/>
        <v>3167</v>
      </c>
      <c r="P134">
        <f t="shared" si="105"/>
        <v>0</v>
      </c>
      <c r="Q134">
        <f t="shared" si="105"/>
        <v>0</v>
      </c>
      <c r="R134">
        <f t="shared" si="105"/>
        <v>0</v>
      </c>
    </row>
    <row r="135" spans="1:18" x14ac:dyDescent="0.25">
      <c r="L135">
        <f t="shared" ref="L135:R135" si="106">IF($L129&lt;&gt;0,-L129*$L$126/$L129+L$126,L129)</f>
        <v>0</v>
      </c>
      <c r="M135">
        <f t="shared" si="106"/>
        <v>5818.5047860912537</v>
      </c>
      <c r="N135">
        <f t="shared" si="106"/>
        <v>12780.075330643838</v>
      </c>
      <c r="O135">
        <f t="shared" si="106"/>
        <v>-24584.355977026629</v>
      </c>
      <c r="P135">
        <f t="shared" si="106"/>
        <v>5985.775860291541</v>
      </c>
      <c r="Q135">
        <f t="shared" si="106"/>
        <v>0</v>
      </c>
      <c r="R135">
        <f t="shared" si="106"/>
        <v>-23274.185990818707</v>
      </c>
    </row>
    <row r="136" spans="1:18" x14ac:dyDescent="0.25">
      <c r="L136">
        <f t="shared" ref="L136:R136" si="107">IF($L130&lt;&gt;0,-L130*$L$126/$L130+L$126,L130)</f>
        <v>0</v>
      </c>
      <c r="M136">
        <f t="shared" si="107"/>
        <v>0</v>
      </c>
      <c r="N136">
        <f t="shared" si="107"/>
        <v>0</v>
      </c>
      <c r="O136">
        <f t="shared" si="107"/>
        <v>0</v>
      </c>
      <c r="P136">
        <f t="shared" si="107"/>
        <v>-4508</v>
      </c>
      <c r="Q136">
        <f t="shared" si="107"/>
        <v>4508</v>
      </c>
      <c r="R136">
        <f t="shared" si="107"/>
        <v>0</v>
      </c>
    </row>
    <row r="137" spans="1:18" x14ac:dyDescent="0.25">
      <c r="L137">
        <f t="shared" ref="L137:R137" si="108">IF($L131&lt;&gt;0,-L131*$L$126/$L131+L$126,L131)</f>
        <v>0</v>
      </c>
      <c r="M137">
        <f t="shared" si="108"/>
        <v>5865.2298494347833</v>
      </c>
      <c r="N137">
        <f t="shared" si="108"/>
        <v>4547.2597340054836</v>
      </c>
      <c r="O137">
        <f t="shared" si="108"/>
        <v>1160.2701271417147</v>
      </c>
      <c r="P137">
        <f t="shared" si="108"/>
        <v>26552.891006309907</v>
      </c>
      <c r="Q137">
        <f t="shared" si="108"/>
        <v>-38125.650716891898</v>
      </c>
      <c r="R137">
        <f t="shared" si="108"/>
        <v>-34377.167152316113</v>
      </c>
    </row>
    <row r="139" spans="1:18" x14ac:dyDescent="0.25">
      <c r="A139" s="2" t="s">
        <v>31</v>
      </c>
      <c r="M139" s="1">
        <f>IF($M134&lt;&gt;0,-M134*$M$133/$M134+M$134,M134)</f>
        <v>0</v>
      </c>
      <c r="N139" s="1">
        <f t="shared" ref="N139:R139" si="109">IF($M134&lt;&gt;0,-N134*$M$133/$M134+N$134,N134)</f>
        <v>-3167</v>
      </c>
      <c r="O139" s="1">
        <f t="shared" si="109"/>
        <v>3167</v>
      </c>
      <c r="P139" s="1">
        <f t="shared" si="109"/>
        <v>0</v>
      </c>
      <c r="Q139" s="1">
        <f t="shared" si="109"/>
        <v>0</v>
      </c>
      <c r="R139" s="1">
        <f t="shared" si="109"/>
        <v>0</v>
      </c>
    </row>
    <row r="140" spans="1:18" x14ac:dyDescent="0.25">
      <c r="M140">
        <f t="shared" ref="M140:R140" si="110">IF($M135&lt;&gt;0,-M135*$M$133/$M135+M$134,M135)</f>
        <v>3628.8806885411955</v>
      </c>
      <c r="N140">
        <f t="shared" si="110"/>
        <v>4803.6677695508924</v>
      </c>
      <c r="O140">
        <f t="shared" si="110"/>
        <v>-12165.752644375858</v>
      </c>
      <c r="P140">
        <f t="shared" si="110"/>
        <v>3733.2041862837727</v>
      </c>
      <c r="Q140">
        <f t="shared" si="110"/>
        <v>0</v>
      </c>
      <c r="R140">
        <f t="shared" si="110"/>
        <v>-14515.626812835528</v>
      </c>
    </row>
    <row r="141" spans="1:18" x14ac:dyDescent="0.25">
      <c r="M141">
        <f t="shared" ref="M141:R141" si="111">IF($M136&lt;&gt;0,-M136*$M$133/$M136+M$134,M136)</f>
        <v>0</v>
      </c>
      <c r="N141">
        <f t="shared" si="111"/>
        <v>0</v>
      </c>
      <c r="O141">
        <f t="shared" si="111"/>
        <v>0</v>
      </c>
      <c r="P141">
        <f t="shared" si="111"/>
        <v>-4508</v>
      </c>
      <c r="Q141">
        <f t="shared" si="111"/>
        <v>4508</v>
      </c>
      <c r="R141">
        <f t="shared" si="111"/>
        <v>0</v>
      </c>
    </row>
    <row r="142" spans="1:18" x14ac:dyDescent="0.25">
      <c r="M142">
        <f t="shared" ref="M142:R142" si="112">IF($M137&lt;&gt;0,-M137*$M$133/$M137+M$134,M137)</f>
        <v>3628.8806885411955</v>
      </c>
      <c r="N142">
        <f t="shared" si="112"/>
        <v>-353.56157420605132</v>
      </c>
      <c r="O142">
        <f t="shared" si="112"/>
        <v>3884.8715866150683</v>
      </c>
      <c r="P142">
        <f t="shared" si="112"/>
        <v>16428.558789903676</v>
      </c>
      <c r="Q142">
        <f t="shared" si="112"/>
        <v>-23588.749490853897</v>
      </c>
      <c r="R142">
        <f t="shared" si="112"/>
        <v>-21269.522458325238</v>
      </c>
    </row>
    <row r="144" spans="1:18" x14ac:dyDescent="0.25">
      <c r="A144" s="2" t="s">
        <v>32</v>
      </c>
      <c r="N144" s="1">
        <f>IF($N140&lt;&gt;0,-N140*$N$139/$N140+N$139,N140)</f>
        <v>0</v>
      </c>
      <c r="O144" s="1">
        <f>IF($N140&lt;&gt;0,-O140*$N$139/$N140+O$139,O140)</f>
        <v>-4853.7334214415323</v>
      </c>
      <c r="P144" s="1">
        <f>IF($N140&lt;&gt;0,-P140*$N$139/$N140+P$139,P140)</f>
        <v>2461.2563202026099</v>
      </c>
      <c r="Q144" s="1">
        <f>IF($N140&lt;&gt;0,-Q140*$N$139/$N140+Q$139,Q140)</f>
        <v>0</v>
      </c>
      <c r="R144" s="1">
        <f>IF($N140&lt;&gt;0,-R140*$N$139/$N140+R$139,R140)</f>
        <v>-9569.9770095774256</v>
      </c>
    </row>
    <row r="145" spans="1:18" x14ac:dyDescent="0.25">
      <c r="N145">
        <f t="shared" ref="N145:R145" si="113">IF($N141&lt;&gt;0,-N141*$N$139/$N141+N$139,N141)</f>
        <v>0</v>
      </c>
      <c r="O145">
        <f t="shared" si="113"/>
        <v>0</v>
      </c>
      <c r="P145">
        <f t="shared" si="113"/>
        <v>-4508</v>
      </c>
      <c r="Q145">
        <f t="shared" si="113"/>
        <v>4508</v>
      </c>
      <c r="R145">
        <f t="shared" si="113"/>
        <v>0</v>
      </c>
    </row>
    <row r="146" spans="1:18" x14ac:dyDescent="0.25">
      <c r="N146">
        <f t="shared" ref="N146:R146" si="114">IF($N142&lt;&gt;0,-N142*$N$139/$N142+N$139,N142)</f>
        <v>-4.5474735088646412E-13</v>
      </c>
      <c r="O146">
        <f t="shared" si="114"/>
        <v>-31631.431765211171</v>
      </c>
      <c r="P146">
        <f t="shared" si="114"/>
        <v>-147157.52356420652</v>
      </c>
      <c r="Q146">
        <f t="shared" si="114"/>
        <v>211294.36875398911</v>
      </c>
      <c r="R146">
        <f t="shared" si="114"/>
        <v>190520.0749735861</v>
      </c>
    </row>
    <row r="148" spans="1:18" x14ac:dyDescent="0.25">
      <c r="A148" s="2" t="s">
        <v>33</v>
      </c>
      <c r="O148" s="1">
        <f>IF($O145&lt;&gt;0,-O145*$O$144/$O145+O$144,O145)</f>
        <v>0</v>
      </c>
      <c r="P148" s="1">
        <f>IF($O145&lt;&gt;0,-P145*$O$144/$O145+P$144,P145)</f>
        <v>-4508</v>
      </c>
      <c r="Q148" s="1">
        <f>IF($O145&lt;&gt;0,-Q145*$O$144/$O145+Q$144,Q145)</f>
        <v>4508</v>
      </c>
      <c r="R148" s="1">
        <f>IF($O145&lt;&gt;0,-R145*$O$144/$O145+R$144,R145)</f>
        <v>0</v>
      </c>
    </row>
    <row r="149" spans="1:18" x14ac:dyDescent="0.25">
      <c r="O149">
        <f>IF($O146&lt;&gt;0,-O146*$O$144/$O146+O$144,O146)</f>
        <v>0</v>
      </c>
      <c r="P149">
        <f>IF($O146&lt;&gt;0,-P146*$O$144/$O146+P$144,P146)</f>
        <v>25042.067572816191</v>
      </c>
      <c r="Q149">
        <f>IF($O146&lt;&gt;0,-Q146*$O$144/$O146+Q$144,Q146)</f>
        <v>-32422.387547805069</v>
      </c>
      <c r="R149">
        <f>IF($O146&lt;&gt;0,-R146*$O$144/$O146+R$144,R146)</f>
        <v>-38804.621277937113</v>
      </c>
    </row>
    <row r="151" spans="1:18" x14ac:dyDescent="0.25">
      <c r="A151" s="2" t="s">
        <v>34</v>
      </c>
      <c r="P151" s="1">
        <f>IF($P149&lt;&gt;0,-P149*$P$148/$P149+P$148,P149)</f>
        <v>0</v>
      </c>
      <c r="Q151" s="1">
        <f>IF($P149&lt;&gt;0,-Q149*$P$148/$P149+Q$148,Q149)</f>
        <v>-1328.5836862514425</v>
      </c>
      <c r="R151" s="1">
        <f>IF($P149&lt;&gt;0,-R149*$P$148/$P149+R$148,R149)</f>
        <v>-6985.4947963974373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Details (3)</vt:lpstr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Kevin Russo</dc:creator>
  <cp:lastModifiedBy>Kevin</cp:lastModifiedBy>
  <dcterms:created xsi:type="dcterms:W3CDTF">2021-05-03T01:27:26Z</dcterms:created>
  <dcterms:modified xsi:type="dcterms:W3CDTF">2021-05-03T01:27:26Z</dcterms:modified>
</cp:coreProperties>
</file>
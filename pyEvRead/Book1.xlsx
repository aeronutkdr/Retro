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85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E17" i="1" l="1"/>
  <c r="D16" i="1"/>
  <c r="E16" i="1"/>
  <c r="C15" i="1"/>
  <c r="E15" i="1"/>
  <c r="D15" i="1"/>
  <c r="E14" i="1"/>
  <c r="E13" i="1"/>
  <c r="E12" i="1"/>
  <c r="E11" i="1"/>
  <c r="E10" i="1"/>
  <c r="E9" i="1"/>
  <c r="E8" i="1"/>
  <c r="E7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<sst xmlns="http://schemas.openxmlformats.org/spreadsheetml/2006/main" count="6" uniqueCount="6">
  <si>
    <t>v</t>
  </si>
  <si>
    <t>n</t>
  </si>
  <si>
    <t>nv</t>
  </si>
  <si>
    <t>nv2</t>
  </si>
  <si>
    <t>SQS</t>
  </si>
  <si>
    <t>SSQ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</si>
</sst>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600075</xdr:colOff>
      <xdr:row>7</xdr:row>
      <xdr:rowOff>19050</xdr:rowOff>
    </xdr:from>
    <xdr:to>
      <xdr:col>11</xdr:col>
      <xdr:colOff>380646</xdr:colOff>
      <xdr:row>11</xdr:row>
      <xdr:rowOff>85621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7675" y="1352550"/>
          <a:ext cx="2828571" cy="828571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2</xdr:row>
      <xdr:rowOff>114300</xdr:rowOff>
    </xdr:from>
    <xdr:to>
      <xdr:col>12</xdr:col>
      <xdr:colOff>47230</xdr:colOff>
      <xdr:row>6</xdr:row>
      <xdr:rowOff>161824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0525" y="495300"/>
          <a:ext cx="3161905" cy="8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17"/>
  <sheetViews>
    <sheetView tabSelected="1" workbookViewId="0">
      <selection activeCell="F2" sqref="F2"/>
    </sheetView>
  </sheetViews>
  <sheetFormatPr defaultRowHeight="15" x14ac:dyDescent="0.25"/>
  <sheetData>
    <row r="5" spans="2:5" x14ac:dyDescent="0.25">
      <c r="D5" t="s">
        <v>4</v>
      </c>
      <c r="E5" t="s">
        <v>5</v>
      </c>
    </row>
    <row r="6" spans="2:5" x14ac:dyDescent="0.25">
      <c r="B6" t="s">
        <v>0</v>
      </c>
      <c r="C6" t="s">
        <v>1</v>
      </c>
      <c r="D6" t="s">
        <v>2</v>
      </c>
      <c r="E6" t="s">
        <v>3</v>
      </c>
    </row>
    <row r="7" spans="2:5" x14ac:dyDescent="0.25">
      <c r="B7">
        <v>0.52737699449062303</v>
      </c>
      <c r="C7">
        <v>304</v>
      </c>
      <c r="D7">
        <f>C7*B7</f>
        <v>160.32260632514939</v>
      </c>
      <c r="E7">
        <f>D7*B7</f>
        <v>84.55045427266063</v>
      </c>
    </row>
    <row r="8" spans="2:5" x14ac:dyDescent="0.25">
      <c r="B8">
        <v>0.477386086247861</v>
      </c>
      <c r="C8">
        <v>18281</v>
      </c>
      <c r="D8">
        <f t="shared" ref="D8:D14" si="0">C8*B8</f>
        <v>8727.0950426971467</v>
      </c>
      <c r="E8">
        <f t="shared" ref="E8:E14" si="1">D8*B8</f>
        <v>4166.1937467463003</v>
      </c>
    </row>
    <row r="9" spans="2:5" x14ac:dyDescent="0.25">
      <c r="B9">
        <v>0.51722943317145098</v>
      </c>
      <c r="C9">
        <v>5061</v>
      </c>
      <c r="D9">
        <f t="shared" si="0"/>
        <v>2617.6981612807135</v>
      </c>
      <c r="E9">
        <f t="shared" si="1"/>
        <v>1353.9505361731728</v>
      </c>
    </row>
    <row r="10" spans="2:5" x14ac:dyDescent="0.25">
      <c r="B10">
        <v>0.56837111804634299</v>
      </c>
      <c r="C10">
        <v>16701</v>
      </c>
      <c r="D10">
        <f t="shared" si="0"/>
        <v>9492.3660424919744</v>
      </c>
      <c r="E10">
        <f t="shared" si="1"/>
        <v>5395.1867004763035</v>
      </c>
    </row>
    <row r="11" spans="2:5" x14ac:dyDescent="0.25">
      <c r="B11">
        <v>0.92875128332525403</v>
      </c>
      <c r="C11">
        <v>1092</v>
      </c>
      <c r="D11">
        <f t="shared" si="0"/>
        <v>1014.1964013911773</v>
      </c>
      <c r="E11">
        <f t="shared" si="1"/>
        <v>941.93620933591046</v>
      </c>
    </row>
    <row r="12" spans="2:5" x14ac:dyDescent="0.25">
      <c r="B12">
        <v>1.17147074081003</v>
      </c>
      <c r="C12">
        <v>361</v>
      </c>
      <c r="D12">
        <f t="shared" si="0"/>
        <v>422.90093743242085</v>
      </c>
      <c r="E12">
        <f t="shared" si="1"/>
        <v>495.41607446321422</v>
      </c>
    </row>
    <row r="13" spans="2:5" x14ac:dyDescent="0.25">
      <c r="B13">
        <v>1.42286235466599</v>
      </c>
      <c r="C13">
        <v>32</v>
      </c>
      <c r="D13">
        <f t="shared" si="0"/>
        <v>45.531595349311679</v>
      </c>
      <c r="E13">
        <f t="shared" si="1"/>
        <v>64.785192970420653</v>
      </c>
    </row>
    <row r="14" spans="2:5" x14ac:dyDescent="0.25">
      <c r="B14">
        <v>0.28439334966242302</v>
      </c>
      <c r="C14">
        <v>2975</v>
      </c>
      <c r="D14">
        <f t="shared" si="0"/>
        <v>846.07021524570848</v>
      </c>
      <c r="E14">
        <f t="shared" si="1"/>
        <v>240.61674256333427</v>
      </c>
    </row>
    <row r="15" spans="2:5" x14ac:dyDescent="0.25">
      <c r="C15">
        <f>SUM(C7:C14)</f>
        <v>44807</v>
      </c>
      <c r="D15">
        <f>SUM(D7:D14)</f>
        <v>23326.181002213601</v>
      </c>
      <c r="E15">
        <f>SUM(E7:E14)</f>
        <v>12742.635657001316</v>
      </c>
    </row>
    <row r="16" spans="2:5" x14ac:dyDescent="0.25">
      <c r="D16">
        <f>(D15/C15)^2</f>
        <v>0.27101638502049935</v>
      </c>
      <c r="E16">
        <f>E15/C15</f>
        <v>0.28438939578640204</v>
      </c>
    </row>
    <row r="17" spans="5:5" x14ac:dyDescent="0.25">
      <c r="E17">
        <f>SQRT(E16-D16)</f>
        <v>0.11564173453344036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2025-09-06T19:17:53Z</dcterms:created>
  <dcterms:modified xsi:type="dcterms:W3CDTF">2025-09-06T19:38:34Z</dcterms:modified>
</cp:coreProperties>
</file>
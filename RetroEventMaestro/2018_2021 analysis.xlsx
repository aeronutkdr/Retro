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90" windowWidth="20115" windowHeight="8520" tabRatio="521" activeTab="5"/>
  </bookViews>
  <sheets>
    <sheet name="2018" sheetId="2" r:id="rId1"/>
    <sheet name="2021" sheetId="3" r:id="rId2"/>
    <sheet name="2021d2018" sheetId="4" r:id="rId3"/>
    <sheet name="2021_judga001" sheetId="5" r:id="rId4"/>
    <sheet name="2021_all" sheetId="6" r:id="rId5"/>
    <sheet name="Sheet1" sheetId="7" r:id="rId6"/>
  </sheets>
  <definedNames>
    <definedName name="_xlnm._FilterDatabase" localSheetId="5" hidden="1">Sheet1!$E$1:$E$1051</definedName>
  </definedNames>
  <calcPr calcId="145621"/>
</workbook>
</file>

<file path=xl/calcChain.xml><?xml version="1.0" encoding="utf-8"?>
<calcChain xmlns="http://schemas.openxmlformats.org/spreadsheetml/2006/main">
  <c r="AL28" i="5" l="1"/>
  <c r="AL52" i="5"/>
  <c r="AL51" i="5"/>
  <c r="AL50" i="5"/>
  <c r="AL49" i="5"/>
  <c r="AL48" i="5"/>
  <c r="AL47" i="5"/>
  <c r="AL46" i="5"/>
  <c r="AL45" i="5"/>
  <c r="AL44" i="5"/>
  <c r="AL43" i="5"/>
  <c r="AL42" i="5"/>
  <c r="AL41" i="5"/>
  <c r="AL40" i="5"/>
  <c r="AL39" i="5"/>
  <c r="AL38" i="5"/>
  <c r="AL37" i="5"/>
  <c r="AL36" i="5"/>
  <c r="AL35" i="5"/>
  <c r="AL34" i="5"/>
  <c r="AL33" i="5"/>
  <c r="AL32" i="5"/>
  <c r="AL31" i="5"/>
  <c r="AL30" i="5"/>
  <c r="AL29" i="5"/>
  <c r="AI52" i="6"/>
  <c r="AH52" i="6"/>
  <c r="AG52" i="6"/>
  <c r="AF52" i="6"/>
  <c r="AE52" i="6"/>
  <c r="AD52" i="6"/>
  <c r="AC52" i="6"/>
  <c r="AB52" i="6"/>
  <c r="AA52" i="6"/>
  <c r="Z52" i="6"/>
  <c r="Y52" i="6"/>
  <c r="X52" i="6"/>
  <c r="W52" i="6"/>
  <c r="V52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AJ52" i="6" s="1"/>
  <c r="AI51" i="6"/>
  <c r="AH51" i="6"/>
  <c r="AG51" i="6"/>
  <c r="AF51" i="6"/>
  <c r="AE51" i="6"/>
  <c r="AD51" i="6"/>
  <c r="AC51" i="6"/>
  <c r="AB51" i="6"/>
  <c r="AA51" i="6"/>
  <c r="Z51" i="6"/>
  <c r="Y51" i="6"/>
  <c r="X51" i="6"/>
  <c r="W51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AJ51" i="6" s="1"/>
  <c r="AI50" i="6"/>
  <c r="AH50" i="6"/>
  <c r="AG50" i="6"/>
  <c r="AF50" i="6"/>
  <c r="AE50" i="6"/>
  <c r="AD50" i="6"/>
  <c r="AC50" i="6"/>
  <c r="AB50" i="6"/>
  <c r="AA50" i="6"/>
  <c r="Z50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AJ50" i="6" s="1"/>
  <c r="AI49" i="6"/>
  <c r="AH49" i="6"/>
  <c r="AG49" i="6"/>
  <c r="AF49" i="6"/>
  <c r="AE49" i="6"/>
  <c r="AD49" i="6"/>
  <c r="AC49" i="6"/>
  <c r="AB49" i="6"/>
  <c r="AA49" i="6"/>
  <c r="Z49" i="6"/>
  <c r="Y49" i="6"/>
  <c r="X49" i="6"/>
  <c r="W49" i="6"/>
  <c r="V49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AJ49" i="6" s="1"/>
  <c r="AI48" i="6"/>
  <c r="AH48" i="6"/>
  <c r="AG48" i="6"/>
  <c r="AF48" i="6"/>
  <c r="AE48" i="6"/>
  <c r="AD48" i="6"/>
  <c r="AC48" i="6"/>
  <c r="AB48" i="6"/>
  <c r="AA48" i="6"/>
  <c r="Z48" i="6"/>
  <c r="Y48" i="6"/>
  <c r="X48" i="6"/>
  <c r="W48" i="6"/>
  <c r="V48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AJ48" i="6" s="1"/>
  <c r="AI47" i="6"/>
  <c r="AH47" i="6"/>
  <c r="AG47" i="6"/>
  <c r="AF47" i="6"/>
  <c r="AE47" i="6"/>
  <c r="AD47" i="6"/>
  <c r="AC47" i="6"/>
  <c r="AB47" i="6"/>
  <c r="AA47" i="6"/>
  <c r="Z47" i="6"/>
  <c r="Y47" i="6"/>
  <c r="X47" i="6"/>
  <c r="W47" i="6"/>
  <c r="V47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AJ47" i="6" s="1"/>
  <c r="AI46" i="6"/>
  <c r="AH46" i="6"/>
  <c r="AG46" i="6"/>
  <c r="AF46" i="6"/>
  <c r="AE46" i="6"/>
  <c r="AD46" i="6"/>
  <c r="AC46" i="6"/>
  <c r="AB46" i="6"/>
  <c r="AA46" i="6"/>
  <c r="Z46" i="6"/>
  <c r="Y46" i="6"/>
  <c r="X46" i="6"/>
  <c r="W46" i="6"/>
  <c r="V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AJ46" i="6" s="1"/>
  <c r="AI45" i="6"/>
  <c r="AH45" i="6"/>
  <c r="AG45" i="6"/>
  <c r="AF45" i="6"/>
  <c r="AE45" i="6"/>
  <c r="AD45" i="6"/>
  <c r="AC45" i="6"/>
  <c r="AB45" i="6"/>
  <c r="AA45" i="6"/>
  <c r="Z45" i="6"/>
  <c r="Y45" i="6"/>
  <c r="X45" i="6"/>
  <c r="W45" i="6"/>
  <c r="V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AJ45" i="6" s="1"/>
  <c r="AI44" i="6"/>
  <c r="AH44" i="6"/>
  <c r="AG44" i="6"/>
  <c r="AF44" i="6"/>
  <c r="AE44" i="6"/>
  <c r="AD44" i="6"/>
  <c r="AC44" i="6"/>
  <c r="AB44" i="6"/>
  <c r="AA44" i="6"/>
  <c r="Z44" i="6"/>
  <c r="Y44" i="6"/>
  <c r="X44" i="6"/>
  <c r="W44" i="6"/>
  <c r="V44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AJ44" i="6" s="1"/>
  <c r="AI43" i="6"/>
  <c r="AH43" i="6"/>
  <c r="AG43" i="6"/>
  <c r="AF43" i="6"/>
  <c r="AE43" i="6"/>
  <c r="AD43" i="6"/>
  <c r="AC43" i="6"/>
  <c r="AB43" i="6"/>
  <c r="AA43" i="6"/>
  <c r="Z43" i="6"/>
  <c r="Y43" i="6"/>
  <c r="X43" i="6"/>
  <c r="W43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AJ43" i="6" s="1"/>
  <c r="AI42" i="6"/>
  <c r="AH42" i="6"/>
  <c r="AG42" i="6"/>
  <c r="AF42" i="6"/>
  <c r="AE42" i="6"/>
  <c r="AD42" i="6"/>
  <c r="AC42" i="6"/>
  <c r="AB42" i="6"/>
  <c r="AA42" i="6"/>
  <c r="Z42" i="6"/>
  <c r="Y42" i="6"/>
  <c r="X42" i="6"/>
  <c r="W42" i="6"/>
  <c r="V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AJ42" i="6" s="1"/>
  <c r="AI41" i="6"/>
  <c r="AH41" i="6"/>
  <c r="AG41" i="6"/>
  <c r="AF41" i="6"/>
  <c r="AE41" i="6"/>
  <c r="AD41" i="6"/>
  <c r="AC41" i="6"/>
  <c r="AB41" i="6"/>
  <c r="AA41" i="6"/>
  <c r="Z41" i="6"/>
  <c r="Y41" i="6"/>
  <c r="X41" i="6"/>
  <c r="W41" i="6"/>
  <c r="V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AJ41" i="6" s="1"/>
  <c r="AI40" i="6"/>
  <c r="AH40" i="6"/>
  <c r="AG40" i="6"/>
  <c r="AF40" i="6"/>
  <c r="AE40" i="6"/>
  <c r="AD40" i="6"/>
  <c r="AC40" i="6"/>
  <c r="AB40" i="6"/>
  <c r="AA40" i="6"/>
  <c r="Z40" i="6"/>
  <c r="Y40" i="6"/>
  <c r="X40" i="6"/>
  <c r="W40" i="6"/>
  <c r="V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AJ40" i="6" s="1"/>
  <c r="AI39" i="6"/>
  <c r="AH39" i="6"/>
  <c r="AG39" i="6"/>
  <c r="AF39" i="6"/>
  <c r="AE39" i="6"/>
  <c r="AD39" i="6"/>
  <c r="AC39" i="6"/>
  <c r="AB39" i="6"/>
  <c r="AA39" i="6"/>
  <c r="Z39" i="6"/>
  <c r="Y39" i="6"/>
  <c r="X39" i="6"/>
  <c r="W39" i="6"/>
  <c r="V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AJ39" i="6" s="1"/>
  <c r="AI38" i="6"/>
  <c r="AH38" i="6"/>
  <c r="AG38" i="6"/>
  <c r="AF38" i="6"/>
  <c r="AE38" i="6"/>
  <c r="AD38" i="6"/>
  <c r="AC38" i="6"/>
  <c r="AB38" i="6"/>
  <c r="AA38" i="6"/>
  <c r="Z38" i="6"/>
  <c r="Y38" i="6"/>
  <c r="X38" i="6"/>
  <c r="W38" i="6"/>
  <c r="V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AJ38" i="6" s="1"/>
  <c r="AI37" i="6"/>
  <c r="AH37" i="6"/>
  <c r="AG37" i="6"/>
  <c r="AF37" i="6"/>
  <c r="AE37" i="6"/>
  <c r="AD37" i="6"/>
  <c r="AC37" i="6"/>
  <c r="AB37" i="6"/>
  <c r="AA37" i="6"/>
  <c r="Z37" i="6"/>
  <c r="Y37" i="6"/>
  <c r="X37" i="6"/>
  <c r="W37" i="6"/>
  <c r="V37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AJ37" i="6" s="1"/>
  <c r="AI36" i="6"/>
  <c r="AH36" i="6"/>
  <c r="AG36" i="6"/>
  <c r="AF36" i="6"/>
  <c r="AE36" i="6"/>
  <c r="AD36" i="6"/>
  <c r="AC36" i="6"/>
  <c r="AB36" i="6"/>
  <c r="AA36" i="6"/>
  <c r="Z36" i="6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AJ36" i="6" s="1"/>
  <c r="AI35" i="6"/>
  <c r="AH35" i="6"/>
  <c r="AG35" i="6"/>
  <c r="AF35" i="6"/>
  <c r="AE35" i="6"/>
  <c r="AD35" i="6"/>
  <c r="AC35" i="6"/>
  <c r="AB35" i="6"/>
  <c r="AA35" i="6"/>
  <c r="Z35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AJ35" i="6" s="1"/>
  <c r="AI34" i="6"/>
  <c r="AH34" i="6"/>
  <c r="AG34" i="6"/>
  <c r="AF34" i="6"/>
  <c r="AE34" i="6"/>
  <c r="AD34" i="6"/>
  <c r="AC34" i="6"/>
  <c r="AB34" i="6"/>
  <c r="AA34" i="6"/>
  <c r="Z34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AJ34" i="6" s="1"/>
  <c r="AI33" i="6"/>
  <c r="AH33" i="6"/>
  <c r="AG33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AJ33" i="6" s="1"/>
  <c r="AK33" i="6" s="1"/>
  <c r="AI32" i="6"/>
  <c r="AH32" i="6"/>
  <c r="AG32" i="6"/>
  <c r="AF32" i="6"/>
  <c r="AE32" i="6"/>
  <c r="AD32" i="6"/>
  <c r="AC32" i="6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AJ32" i="6" s="1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AJ31" i="6" s="1"/>
  <c r="AK31" i="6" s="1"/>
  <c r="AI30" i="6"/>
  <c r="AH30" i="6"/>
  <c r="AG30" i="6"/>
  <c r="AF30" i="6"/>
  <c r="AE30" i="6"/>
  <c r="AD30" i="6"/>
  <c r="AC30" i="6"/>
  <c r="AB30" i="6"/>
  <c r="AA30" i="6"/>
  <c r="Z30" i="6"/>
  <c r="Y30" i="6"/>
  <c r="X30" i="6"/>
  <c r="W30" i="6"/>
  <c r="V30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AJ30" i="6" s="1"/>
  <c r="AK30" i="6" s="1"/>
  <c r="AI29" i="6"/>
  <c r="AH29" i="6"/>
  <c r="AG29" i="6"/>
  <c r="AF29" i="6"/>
  <c r="AE29" i="6"/>
  <c r="AD29" i="6"/>
  <c r="AC29" i="6"/>
  <c r="AB29" i="6"/>
  <c r="AA29" i="6"/>
  <c r="Z29" i="6"/>
  <c r="Y29" i="6"/>
  <c r="X29" i="6"/>
  <c r="W29" i="6"/>
  <c r="V29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AJ29" i="6" s="1"/>
  <c r="AJ27" i="6"/>
  <c r="C27" i="6"/>
  <c r="B27" i="6"/>
  <c r="B52" i="6" s="1"/>
  <c r="AJ26" i="6"/>
  <c r="C26" i="6"/>
  <c r="B26" i="6"/>
  <c r="B51" i="6" s="1"/>
  <c r="AJ25" i="6"/>
  <c r="C25" i="6"/>
  <c r="B25" i="6"/>
  <c r="B50" i="6" s="1"/>
  <c r="AJ24" i="6"/>
  <c r="C24" i="6"/>
  <c r="B24" i="6" s="1"/>
  <c r="B49" i="6" s="1"/>
  <c r="AJ23" i="6"/>
  <c r="C23" i="6"/>
  <c r="B23" i="6"/>
  <c r="B48" i="6" s="1"/>
  <c r="AJ22" i="6"/>
  <c r="C22" i="6"/>
  <c r="B22" i="6" s="1"/>
  <c r="B47" i="6" s="1"/>
  <c r="AJ21" i="6"/>
  <c r="C21" i="6"/>
  <c r="B21" i="6"/>
  <c r="B46" i="6" s="1"/>
  <c r="AJ20" i="6"/>
  <c r="C20" i="6"/>
  <c r="B20" i="6" s="1"/>
  <c r="B45" i="6" s="1"/>
  <c r="AJ19" i="6"/>
  <c r="C19" i="6"/>
  <c r="B19" i="6"/>
  <c r="B44" i="6" s="1"/>
  <c r="AJ18" i="6"/>
  <c r="C18" i="6"/>
  <c r="B18" i="6" s="1"/>
  <c r="B43" i="6" s="1"/>
  <c r="AJ17" i="6"/>
  <c r="C17" i="6"/>
  <c r="B17" i="6"/>
  <c r="B42" i="6" s="1"/>
  <c r="AJ16" i="6"/>
  <c r="C16" i="6"/>
  <c r="B16" i="6" s="1"/>
  <c r="B41" i="6" s="1"/>
  <c r="AJ15" i="6"/>
  <c r="C15" i="6"/>
  <c r="B15" i="6"/>
  <c r="B40" i="6" s="1"/>
  <c r="AJ14" i="6"/>
  <c r="C14" i="6"/>
  <c r="B14" i="6" s="1"/>
  <c r="B39" i="6" s="1"/>
  <c r="AJ13" i="6"/>
  <c r="C13" i="6"/>
  <c r="B13" i="6"/>
  <c r="B38" i="6" s="1"/>
  <c r="AJ12" i="6"/>
  <c r="C12" i="6"/>
  <c r="B12" i="6" s="1"/>
  <c r="B37" i="6" s="1"/>
  <c r="AJ11" i="6"/>
  <c r="C11" i="6"/>
  <c r="B11" i="6"/>
  <c r="B36" i="6" s="1"/>
  <c r="AJ10" i="6"/>
  <c r="C10" i="6"/>
  <c r="B10" i="6" s="1"/>
  <c r="B35" i="6" s="1"/>
  <c r="AJ9" i="6"/>
  <c r="C9" i="6"/>
  <c r="B9" i="6"/>
  <c r="B34" i="6" s="1"/>
  <c r="AJ8" i="6"/>
  <c r="C8" i="6"/>
  <c r="B8" i="6" s="1"/>
  <c r="B33" i="6" s="1"/>
  <c r="AJ7" i="6"/>
  <c r="C7" i="6"/>
  <c r="B7" i="6"/>
  <c r="B32" i="6" s="1"/>
  <c r="AJ6" i="6"/>
  <c r="C6" i="6"/>
  <c r="B6" i="6" s="1"/>
  <c r="B31" i="6" s="1"/>
  <c r="AJ5" i="6"/>
  <c r="C5" i="6"/>
  <c r="B5" i="6"/>
  <c r="B30" i="6" s="1"/>
  <c r="AJ4" i="6"/>
  <c r="C4" i="6"/>
  <c r="B4" i="6" s="1"/>
  <c r="B29" i="6" s="1"/>
  <c r="AI3" i="6"/>
  <c r="AH3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AI2" i="6"/>
  <c r="AI28" i="6" s="1"/>
  <c r="AH2" i="6"/>
  <c r="AH28" i="6" s="1"/>
  <c r="AG2" i="6"/>
  <c r="AG28" i="6" s="1"/>
  <c r="AF2" i="6"/>
  <c r="AF28" i="6" s="1"/>
  <c r="AE2" i="6"/>
  <c r="AE28" i="6" s="1"/>
  <c r="AD2" i="6"/>
  <c r="AD28" i="6" s="1"/>
  <c r="AC2" i="6"/>
  <c r="AC28" i="6" s="1"/>
  <c r="AB2" i="6"/>
  <c r="AB28" i="6" s="1"/>
  <c r="AA2" i="6"/>
  <c r="AA28" i="6" s="1"/>
  <c r="Z2" i="6"/>
  <c r="Z28" i="6" s="1"/>
  <c r="Y2" i="6"/>
  <c r="Y28" i="6" s="1"/>
  <c r="X2" i="6"/>
  <c r="X28" i="6" s="1"/>
  <c r="W2" i="6"/>
  <c r="W28" i="6" s="1"/>
  <c r="V2" i="6"/>
  <c r="V28" i="6" s="1"/>
  <c r="U2" i="6"/>
  <c r="U28" i="6" s="1"/>
  <c r="T2" i="6"/>
  <c r="T28" i="6" s="1"/>
  <c r="S2" i="6"/>
  <c r="S28" i="6" s="1"/>
  <c r="R2" i="6"/>
  <c r="R28" i="6" s="1"/>
  <c r="Q2" i="6"/>
  <c r="Q28" i="6" s="1"/>
  <c r="P2" i="6"/>
  <c r="P28" i="6" s="1"/>
  <c r="O2" i="6"/>
  <c r="O28" i="6" s="1"/>
  <c r="N2" i="6"/>
  <c r="N28" i="6" s="1"/>
  <c r="M2" i="6"/>
  <c r="M28" i="6" s="1"/>
  <c r="L2" i="6"/>
  <c r="L28" i="6" s="1"/>
  <c r="K2" i="6"/>
  <c r="K28" i="6" s="1"/>
  <c r="J2" i="6"/>
  <c r="J28" i="6" s="1"/>
  <c r="I2" i="6"/>
  <c r="I28" i="6" s="1"/>
  <c r="H2" i="6"/>
  <c r="H28" i="6" s="1"/>
  <c r="G2" i="6"/>
  <c r="G28" i="6" s="1"/>
  <c r="F2" i="6"/>
  <c r="F28" i="6" s="1"/>
  <c r="E2" i="6"/>
  <c r="E28" i="6" s="1"/>
  <c r="D2" i="6"/>
  <c r="D28" i="6" s="1"/>
  <c r="AK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AJ27" i="5"/>
  <c r="AJ26" i="5"/>
  <c r="AJ25" i="5"/>
  <c r="AJ24" i="5"/>
  <c r="AJ23" i="5"/>
  <c r="AJ22" i="5"/>
  <c r="AJ21" i="5"/>
  <c r="AJ20" i="5"/>
  <c r="AJ19" i="5"/>
  <c r="AJ18" i="5"/>
  <c r="AJ17" i="5"/>
  <c r="AJ16" i="5"/>
  <c r="AJ15" i="5"/>
  <c r="AJ14" i="5"/>
  <c r="AJ13" i="5"/>
  <c r="AJ12" i="5"/>
  <c r="AJ11" i="5"/>
  <c r="AJ10" i="5"/>
  <c r="AJ9" i="5"/>
  <c r="AJ8" i="5"/>
  <c r="AJ7" i="5"/>
  <c r="AJ6" i="5"/>
  <c r="AJ5" i="5"/>
  <c r="AJ4" i="5"/>
  <c r="AI3" i="5"/>
  <c r="AH3" i="5"/>
  <c r="AH2" i="5" s="1"/>
  <c r="AG3" i="5"/>
  <c r="AG2" i="5" s="1"/>
  <c r="AF3" i="5"/>
  <c r="AF2" i="5" s="1"/>
  <c r="AE3" i="5"/>
  <c r="AD3" i="5"/>
  <c r="AD2" i="5" s="1"/>
  <c r="AC3" i="5"/>
  <c r="AC2" i="5" s="1"/>
  <c r="AB3" i="5"/>
  <c r="AB2" i="5" s="1"/>
  <c r="AA3" i="5"/>
  <c r="Z3" i="5"/>
  <c r="Z2" i="5" s="1"/>
  <c r="Y3" i="5"/>
  <c r="Y2" i="5" s="1"/>
  <c r="X3" i="5"/>
  <c r="X2" i="5" s="1"/>
  <c r="W3" i="5"/>
  <c r="V3" i="5"/>
  <c r="V2" i="5" s="1"/>
  <c r="U3" i="5"/>
  <c r="U2" i="5" s="1"/>
  <c r="T3" i="5"/>
  <c r="T2" i="5" s="1"/>
  <c r="S3" i="5"/>
  <c r="R3" i="5"/>
  <c r="R2" i="5" s="1"/>
  <c r="Q3" i="5"/>
  <c r="Q2" i="5" s="1"/>
  <c r="P3" i="5"/>
  <c r="P2" i="5" s="1"/>
  <c r="O3" i="5"/>
  <c r="N3" i="5"/>
  <c r="N2" i="5" s="1"/>
  <c r="M3" i="5"/>
  <c r="M2" i="5" s="1"/>
  <c r="L3" i="5"/>
  <c r="L2" i="5" s="1"/>
  <c r="K3" i="5"/>
  <c r="J3" i="5"/>
  <c r="J2" i="5" s="1"/>
  <c r="I3" i="5"/>
  <c r="I2" i="5" s="1"/>
  <c r="H3" i="5"/>
  <c r="H2" i="5" s="1"/>
  <c r="G3" i="5"/>
  <c r="F3" i="5"/>
  <c r="F2" i="5" s="1"/>
  <c r="E3" i="5"/>
  <c r="E2" i="5" s="1"/>
  <c r="AI2" i="5"/>
  <c r="AE2" i="5"/>
  <c r="AA2" i="5"/>
  <c r="W2" i="5"/>
  <c r="S2" i="5"/>
  <c r="O2" i="5"/>
  <c r="K2" i="5"/>
  <c r="G2" i="5"/>
  <c r="D2" i="5"/>
  <c r="D3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B4" i="5"/>
  <c r="C4" i="5"/>
  <c r="AK34" i="6" l="1"/>
  <c r="AK35" i="6"/>
  <c r="AK36" i="6"/>
  <c r="AK38" i="6"/>
  <c r="AK39" i="6"/>
  <c r="AK41" i="6"/>
  <c r="AK42" i="6"/>
  <c r="AK43" i="6"/>
  <c r="AK44" i="6"/>
  <c r="AK46" i="6"/>
  <c r="AK47" i="6"/>
  <c r="AK50" i="6"/>
  <c r="AK37" i="6"/>
  <c r="AK40" i="6"/>
  <c r="AK45" i="6"/>
  <c r="AK48" i="6"/>
  <c r="AK49" i="6"/>
  <c r="AK51" i="6"/>
  <c r="AK52" i="6"/>
  <c r="AK32" i="6"/>
  <c r="AJ3" i="6"/>
  <c r="AK29" i="6"/>
  <c r="AJ28" i="6"/>
  <c r="AJ3" i="5"/>
  <c r="AJ29" i="5"/>
  <c r="AJ30" i="5"/>
  <c r="AK30" i="5" s="1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K47" i="5" s="1"/>
  <c r="AJ48" i="5"/>
  <c r="AJ49" i="5"/>
  <c r="AJ50" i="5"/>
  <c r="AJ51" i="5"/>
  <c r="AJ52" i="5"/>
  <c r="AK31" i="5"/>
  <c r="AK32" i="5"/>
  <c r="AK34" i="5"/>
  <c r="AK35" i="5"/>
  <c r="AK36" i="5"/>
  <c r="AK39" i="5"/>
  <c r="AK40" i="5"/>
  <c r="AK43" i="5"/>
  <c r="AK44" i="5"/>
  <c r="AK48" i="5"/>
  <c r="AK51" i="5"/>
  <c r="AK52" i="5"/>
  <c r="AK33" i="5"/>
  <c r="AK29" i="5"/>
  <c r="AK37" i="5"/>
  <c r="AK38" i="5"/>
  <c r="AK41" i="5"/>
  <c r="AK42" i="5"/>
  <c r="AK45" i="5"/>
  <c r="AK46" i="5"/>
  <c r="AK49" i="5"/>
  <c r="AK50" i="5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AI25" i="4"/>
  <c r="AH25" i="4"/>
  <c r="AG25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AI24" i="4"/>
  <c r="AH24" i="4"/>
  <c r="AG24" i="4"/>
  <c r="AF24" i="4"/>
  <c r="AE24" i="4"/>
  <c r="AD24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AI23" i="4"/>
  <c r="AH23" i="4"/>
  <c r="AG23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AI22" i="4"/>
  <c r="AH22" i="4"/>
  <c r="AG22" i="4"/>
  <c r="AF22" i="4"/>
  <c r="AE22" i="4"/>
  <c r="AD22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AI21" i="4"/>
  <c r="AH21" i="4"/>
  <c r="AG21" i="4"/>
  <c r="AF21" i="4"/>
  <c r="AE21" i="4"/>
  <c r="AD21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AI19" i="4"/>
  <c r="AH19" i="4"/>
  <c r="AG19" i="4"/>
  <c r="AF19" i="4"/>
  <c r="AE19" i="4"/>
  <c r="AD19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AI14" i="4"/>
  <c r="AH14" i="4"/>
  <c r="AG14" i="4"/>
  <c r="AF14" i="4"/>
  <c r="AE14" i="4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AI13" i="4"/>
  <c r="AH13" i="4"/>
  <c r="AG13" i="4"/>
  <c r="AF13" i="4"/>
  <c r="AE13" i="4"/>
  <c r="AD13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AI11" i="4"/>
  <c r="AH11" i="4"/>
  <c r="AG11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AI10" i="4"/>
  <c r="AH10" i="4"/>
  <c r="AG10" i="4"/>
  <c r="AF10" i="4"/>
  <c r="AE10" i="4"/>
  <c r="AD10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B27" i="3"/>
  <c r="B26" i="3"/>
  <c r="B25" i="3"/>
  <c r="B24" i="3"/>
  <c r="B23" i="3"/>
  <c r="B22" i="3"/>
  <c r="B21" i="3"/>
  <c r="B20" i="3"/>
  <c r="B19" i="3"/>
  <c r="A19" i="3"/>
  <c r="A27" i="3" s="1"/>
  <c r="B18" i="3"/>
  <c r="A18" i="3"/>
  <c r="B17" i="3"/>
  <c r="A17" i="3"/>
  <c r="B16" i="3"/>
  <c r="A16" i="3"/>
  <c r="B15" i="3"/>
  <c r="A15" i="3"/>
  <c r="A23" i="3" s="1"/>
  <c r="B14" i="3"/>
  <c r="A14" i="3"/>
  <c r="A22" i="3" s="1"/>
  <c r="B13" i="3"/>
  <c r="A13" i="3"/>
  <c r="A21" i="3" s="1"/>
  <c r="B12" i="3"/>
  <c r="A12" i="3"/>
  <c r="P12" i="3" s="1"/>
  <c r="K11" i="3"/>
  <c r="J11" i="3"/>
  <c r="I11" i="3"/>
  <c r="H11" i="3"/>
  <c r="G11" i="3"/>
  <c r="F11" i="3"/>
  <c r="E11" i="3"/>
  <c r="D11" i="3"/>
  <c r="B11" i="3"/>
  <c r="K10" i="3"/>
  <c r="J10" i="3"/>
  <c r="I10" i="3"/>
  <c r="H10" i="3"/>
  <c r="G10" i="3"/>
  <c r="F10" i="3"/>
  <c r="E10" i="3"/>
  <c r="D10" i="3"/>
  <c r="B10" i="3"/>
  <c r="K9" i="3"/>
  <c r="J9" i="3"/>
  <c r="I9" i="3"/>
  <c r="H9" i="3"/>
  <c r="G9" i="3"/>
  <c r="F9" i="3"/>
  <c r="E9" i="3"/>
  <c r="D9" i="3"/>
  <c r="B9" i="3"/>
  <c r="J8" i="3"/>
  <c r="I8" i="3"/>
  <c r="H8" i="3"/>
  <c r="F8" i="3"/>
  <c r="E8" i="3"/>
  <c r="D8" i="3"/>
  <c r="B8" i="3"/>
  <c r="K7" i="3"/>
  <c r="J7" i="3"/>
  <c r="I7" i="3"/>
  <c r="H7" i="3"/>
  <c r="G7" i="3"/>
  <c r="F7" i="3"/>
  <c r="E7" i="3"/>
  <c r="D7" i="3"/>
  <c r="B7" i="3"/>
  <c r="J6" i="3"/>
  <c r="I6" i="3"/>
  <c r="H6" i="3"/>
  <c r="G6" i="3"/>
  <c r="F6" i="3"/>
  <c r="E6" i="3"/>
  <c r="D6" i="3"/>
  <c r="B6" i="3"/>
  <c r="J5" i="3"/>
  <c r="I5" i="3"/>
  <c r="H5" i="3"/>
  <c r="G5" i="3"/>
  <c r="F5" i="3"/>
  <c r="E5" i="3"/>
  <c r="D5" i="3"/>
  <c r="B5" i="3"/>
  <c r="H4" i="3"/>
  <c r="F4" i="3"/>
  <c r="E4" i="3"/>
  <c r="D4" i="3"/>
  <c r="B4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S1" i="3"/>
  <c r="S19" i="3" s="1"/>
  <c r="R1" i="3"/>
  <c r="Q1" i="3"/>
  <c r="Q10" i="3" s="1"/>
  <c r="P1" i="3"/>
  <c r="P19" i="3" s="1"/>
  <c r="O1" i="3"/>
  <c r="O19" i="3" s="1"/>
  <c r="N1" i="3"/>
  <c r="M1" i="3"/>
  <c r="M10" i="3" s="1"/>
  <c r="L1" i="3"/>
  <c r="U7" i="2"/>
  <c r="T9" i="2"/>
  <c r="T10" i="2"/>
  <c r="T11" i="2"/>
  <c r="X11" i="2"/>
  <c r="AB9" i="2"/>
  <c r="AG19" i="2"/>
  <c r="AC19" i="2"/>
  <c r="Y19" i="2"/>
  <c r="U19" i="2"/>
  <c r="Q19" i="2"/>
  <c r="M19" i="2"/>
  <c r="AC17" i="2"/>
  <c r="X17" i="2"/>
  <c r="T17" i="2"/>
  <c r="P17" i="2"/>
  <c r="L17" i="2"/>
  <c r="AB15" i="2"/>
  <c r="W15" i="2"/>
  <c r="S15" i="2"/>
  <c r="O15" i="2"/>
  <c r="AG17" i="2"/>
  <c r="Q11" i="2"/>
  <c r="M11" i="2"/>
  <c r="K11" i="2"/>
  <c r="J11" i="2"/>
  <c r="I11" i="2"/>
  <c r="H11" i="2"/>
  <c r="G11" i="2"/>
  <c r="F11" i="2"/>
  <c r="E11" i="2"/>
  <c r="D11" i="2"/>
  <c r="AB16" i="2"/>
  <c r="T16" i="2"/>
  <c r="AB13" i="2"/>
  <c r="T13" i="2"/>
  <c r="O13" i="2"/>
  <c r="K10" i="2"/>
  <c r="J10" i="2"/>
  <c r="I10" i="2"/>
  <c r="H10" i="2"/>
  <c r="G10" i="2"/>
  <c r="F10" i="2"/>
  <c r="E10" i="2"/>
  <c r="D10" i="2"/>
  <c r="Q9" i="2"/>
  <c r="M9" i="2"/>
  <c r="K9" i="2"/>
  <c r="J9" i="2"/>
  <c r="I9" i="2"/>
  <c r="H9" i="2"/>
  <c r="G9" i="2"/>
  <c r="F9" i="2"/>
  <c r="E9" i="2"/>
  <c r="D9" i="2"/>
  <c r="M8" i="2"/>
  <c r="J8" i="2"/>
  <c r="I8" i="2"/>
  <c r="H8" i="2"/>
  <c r="F8" i="2"/>
  <c r="E8" i="2"/>
  <c r="D8" i="2"/>
  <c r="O7" i="2"/>
  <c r="K7" i="2"/>
  <c r="J7" i="2"/>
  <c r="I7" i="2"/>
  <c r="H7" i="2"/>
  <c r="G7" i="2"/>
  <c r="F7" i="2"/>
  <c r="E7" i="2"/>
  <c r="D7" i="2"/>
  <c r="P6" i="2"/>
  <c r="J6" i="2"/>
  <c r="I6" i="2"/>
  <c r="H6" i="2"/>
  <c r="G6" i="2"/>
  <c r="F6" i="2"/>
  <c r="E6" i="2"/>
  <c r="D6" i="2"/>
  <c r="J5" i="2"/>
  <c r="I5" i="2"/>
  <c r="H5" i="2"/>
  <c r="G5" i="2"/>
  <c r="F5" i="2"/>
  <c r="E5" i="2"/>
  <c r="D5" i="2"/>
  <c r="H4" i="2"/>
  <c r="F4" i="2"/>
  <c r="E4" i="2"/>
  <c r="D4" i="2"/>
  <c r="S1" i="2"/>
  <c r="AA1" i="2" s="1"/>
  <c r="AI1" i="2" s="1"/>
  <c r="R1" i="2"/>
  <c r="Q1" i="2"/>
  <c r="Y1" i="2" s="1"/>
  <c r="AG1" i="2" s="1"/>
  <c r="P1" i="2"/>
  <c r="X1" i="2" s="1"/>
  <c r="AF1" i="2" s="1"/>
  <c r="AF11" i="2" s="1"/>
  <c r="O1" i="2"/>
  <c r="W1" i="2" s="1"/>
  <c r="AE1" i="2" s="1"/>
  <c r="N1" i="2"/>
  <c r="M1" i="2"/>
  <c r="U1" i="2" s="1"/>
  <c r="AC1" i="2" s="1"/>
  <c r="AC11" i="2" s="1"/>
  <c r="L1" i="2"/>
  <c r="T1" i="2" s="1"/>
  <c r="AB1" i="2" s="1"/>
  <c r="AB10" i="2" s="1"/>
  <c r="A22" i="2"/>
  <c r="A19" i="2"/>
  <c r="AF19" i="2" s="1"/>
  <c r="A18" i="2"/>
  <c r="U18" i="2" s="1"/>
  <c r="A17" i="2"/>
  <c r="AB17" i="2" s="1"/>
  <c r="A16" i="2"/>
  <c r="X16" i="2" s="1"/>
  <c r="A15" i="2"/>
  <c r="AF15" i="2" s="1"/>
  <c r="A14" i="2"/>
  <c r="AB14" i="2" s="1"/>
  <c r="A13" i="2"/>
  <c r="X13" i="2" s="1"/>
  <c r="A12" i="2"/>
  <c r="M12" i="2" s="1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AK28" i="6" l="1"/>
  <c r="AJ28" i="5"/>
  <c r="N9" i="3"/>
  <c r="N6" i="3"/>
  <c r="N5" i="3"/>
  <c r="N11" i="3"/>
  <c r="N8" i="3"/>
  <c r="N7" i="3"/>
  <c r="V1" i="3"/>
  <c r="V22" i="3" s="1"/>
  <c r="N10" i="3"/>
  <c r="R9" i="3"/>
  <c r="R11" i="3"/>
  <c r="R7" i="3"/>
  <c r="Z1" i="3"/>
  <c r="R10" i="3"/>
  <c r="Z21" i="3"/>
  <c r="V21" i="3"/>
  <c r="Z23" i="3"/>
  <c r="V23" i="3"/>
  <c r="Z27" i="3"/>
  <c r="V27" i="3"/>
  <c r="T27" i="3"/>
  <c r="L19" i="3"/>
  <c r="L17" i="3"/>
  <c r="L15" i="3"/>
  <c r="L13" i="3"/>
  <c r="L11" i="3"/>
  <c r="L8" i="3"/>
  <c r="L7" i="3"/>
  <c r="L4" i="3"/>
  <c r="L10" i="3"/>
  <c r="T1" i="3"/>
  <c r="T21" i="3" s="1"/>
  <c r="L9" i="3"/>
  <c r="L6" i="3"/>
  <c r="L12" i="3"/>
  <c r="L5" i="3"/>
  <c r="P6" i="3"/>
  <c r="M7" i="3"/>
  <c r="Q7" i="3"/>
  <c r="M8" i="3"/>
  <c r="O9" i="3"/>
  <c r="M11" i="3"/>
  <c r="Q11" i="3"/>
  <c r="M13" i="3"/>
  <c r="Q13" i="3"/>
  <c r="O14" i="3"/>
  <c r="M15" i="3"/>
  <c r="Q15" i="3"/>
  <c r="M17" i="3"/>
  <c r="Q17" i="3"/>
  <c r="O18" i="3"/>
  <c r="S18" i="3"/>
  <c r="W18" i="3"/>
  <c r="M19" i="3"/>
  <c r="Q19" i="3"/>
  <c r="A25" i="3"/>
  <c r="W1" i="3"/>
  <c r="W23" i="3" s="1"/>
  <c r="AA1" i="3"/>
  <c r="M5" i="3"/>
  <c r="P9" i="3"/>
  <c r="O10" i="3"/>
  <c r="M12" i="3"/>
  <c r="N13" i="3"/>
  <c r="R13" i="3"/>
  <c r="L14" i="3"/>
  <c r="P14" i="3"/>
  <c r="N15" i="3"/>
  <c r="R15" i="3"/>
  <c r="V15" i="3"/>
  <c r="Z15" i="3"/>
  <c r="L16" i="3"/>
  <c r="P16" i="3"/>
  <c r="N17" i="3"/>
  <c r="R17" i="3"/>
  <c r="V17" i="3"/>
  <c r="Z17" i="3"/>
  <c r="L18" i="3"/>
  <c r="P18" i="3"/>
  <c r="T18" i="3"/>
  <c r="X18" i="3"/>
  <c r="N19" i="3"/>
  <c r="R19" i="3"/>
  <c r="V19" i="3"/>
  <c r="Z19" i="3"/>
  <c r="A26" i="3"/>
  <c r="X1" i="3"/>
  <c r="X23" i="3" s="1"/>
  <c r="M6" i="3"/>
  <c r="O7" i="3"/>
  <c r="P8" i="3"/>
  <c r="M9" i="3"/>
  <c r="Q9" i="3"/>
  <c r="P10" i="3"/>
  <c r="O11" i="3"/>
  <c r="S11" i="3"/>
  <c r="N12" i="3"/>
  <c r="O13" i="3"/>
  <c r="M14" i="3"/>
  <c r="Q14" i="3"/>
  <c r="V14" i="3"/>
  <c r="O15" i="3"/>
  <c r="S15" i="3"/>
  <c r="M16" i="3"/>
  <c r="Q16" i="3"/>
  <c r="V16" i="3"/>
  <c r="O17" i="3"/>
  <c r="S17" i="3"/>
  <c r="M18" i="3"/>
  <c r="Q18" i="3"/>
  <c r="U18" i="3"/>
  <c r="A20" i="3"/>
  <c r="A24" i="3"/>
  <c r="U1" i="3"/>
  <c r="U22" i="3" s="1"/>
  <c r="Y1" i="3"/>
  <c r="P5" i="3"/>
  <c r="P7" i="3"/>
  <c r="P11" i="3"/>
  <c r="P13" i="3"/>
  <c r="N14" i="3"/>
  <c r="R14" i="3"/>
  <c r="X14" i="3"/>
  <c r="P15" i="3"/>
  <c r="N16" i="3"/>
  <c r="R16" i="3"/>
  <c r="P17" i="3"/>
  <c r="N18" i="3"/>
  <c r="R18" i="3"/>
  <c r="V18" i="3"/>
  <c r="Z18" i="3"/>
  <c r="AF22" i="2"/>
  <c r="AG22" i="2"/>
  <c r="AB22" i="2"/>
  <c r="Y22" i="2"/>
  <c r="U22" i="2"/>
  <c r="AC22" i="2"/>
  <c r="X22" i="2"/>
  <c r="T22" i="2"/>
  <c r="V1" i="2"/>
  <c r="N7" i="2"/>
  <c r="N6" i="2"/>
  <c r="N11" i="2"/>
  <c r="N9" i="2"/>
  <c r="N8" i="2"/>
  <c r="Z1" i="2"/>
  <c r="R7" i="2"/>
  <c r="R11" i="2"/>
  <c r="R9" i="2"/>
  <c r="Q18" i="2"/>
  <c r="A26" i="2"/>
  <c r="N5" i="2"/>
  <c r="N10" i="2"/>
  <c r="N12" i="2"/>
  <c r="X14" i="2"/>
  <c r="R14" i="2"/>
  <c r="N14" i="2"/>
  <c r="V14" i="2"/>
  <c r="Q14" i="2"/>
  <c r="M14" i="2"/>
  <c r="U14" i="2"/>
  <c r="P14" i="2"/>
  <c r="L14" i="2"/>
  <c r="AC18" i="2"/>
  <c r="X18" i="2"/>
  <c r="T18" i="2"/>
  <c r="P18" i="2"/>
  <c r="L18" i="2"/>
  <c r="AB18" i="2"/>
  <c r="W18" i="2"/>
  <c r="S18" i="2"/>
  <c r="O18" i="2"/>
  <c r="AF18" i="2"/>
  <c r="Z18" i="2"/>
  <c r="V18" i="2"/>
  <c r="R18" i="2"/>
  <c r="N18" i="2"/>
  <c r="AG18" i="2"/>
  <c r="R10" i="2"/>
  <c r="O14" i="2"/>
  <c r="Y18" i="2"/>
  <c r="T14" i="2"/>
  <c r="M18" i="2"/>
  <c r="W22" i="2"/>
  <c r="A23" i="2"/>
  <c r="A27" i="2"/>
  <c r="P5" i="2"/>
  <c r="L6" i="2"/>
  <c r="L7" i="2"/>
  <c r="P7" i="2"/>
  <c r="O10" i="2"/>
  <c r="L13" i="2"/>
  <c r="P13" i="2"/>
  <c r="U13" i="2"/>
  <c r="L16" i="2"/>
  <c r="P16" i="2"/>
  <c r="U16" i="2"/>
  <c r="P12" i="2"/>
  <c r="L15" i="2"/>
  <c r="P15" i="2"/>
  <c r="T15" i="2"/>
  <c r="X15" i="2"/>
  <c r="AC15" i="2"/>
  <c r="M17" i="2"/>
  <c r="Q17" i="2"/>
  <c r="U17" i="2"/>
  <c r="Y17" i="2"/>
  <c r="N19" i="2"/>
  <c r="R19" i="2"/>
  <c r="V19" i="2"/>
  <c r="Z19" i="2"/>
  <c r="AB7" i="2"/>
  <c r="W11" i="2"/>
  <c r="X10" i="2"/>
  <c r="X9" i="2"/>
  <c r="T8" i="2"/>
  <c r="T7" i="2"/>
  <c r="A20" i="2"/>
  <c r="A24" i="2"/>
  <c r="L4" i="2"/>
  <c r="L5" i="2"/>
  <c r="M6" i="2"/>
  <c r="M7" i="2"/>
  <c r="Q7" i="2"/>
  <c r="P8" i="2"/>
  <c r="O9" i="2"/>
  <c r="L10" i="2"/>
  <c r="P10" i="2"/>
  <c r="M13" i="2"/>
  <c r="Q13" i="2"/>
  <c r="V13" i="2"/>
  <c r="M16" i="2"/>
  <c r="Q16" i="2"/>
  <c r="V16" i="2"/>
  <c r="L12" i="2"/>
  <c r="T12" i="2"/>
  <c r="O11" i="2"/>
  <c r="S11" i="2"/>
  <c r="M15" i="2"/>
  <c r="Q15" i="2"/>
  <c r="U15" i="2"/>
  <c r="Y15" i="2"/>
  <c r="N17" i="2"/>
  <c r="R17" i="2"/>
  <c r="V17" i="2"/>
  <c r="Z17" i="2"/>
  <c r="AF17" i="2"/>
  <c r="O19" i="2"/>
  <c r="S19" i="2"/>
  <c r="W19" i="2"/>
  <c r="AA19" i="2"/>
  <c r="AE19" i="2"/>
  <c r="AB11" i="2"/>
  <c r="X7" i="2"/>
  <c r="T6" i="2"/>
  <c r="A21" i="2"/>
  <c r="A25" i="2"/>
  <c r="M5" i="2"/>
  <c r="L8" i="2"/>
  <c r="L9" i="2"/>
  <c r="P9" i="2"/>
  <c r="M10" i="2"/>
  <c r="Q10" i="2"/>
  <c r="N13" i="2"/>
  <c r="R13" i="2"/>
  <c r="N16" i="2"/>
  <c r="R16" i="2"/>
  <c r="L11" i="2"/>
  <c r="P11" i="2"/>
  <c r="AG15" i="2"/>
  <c r="N15" i="2"/>
  <c r="R15" i="2"/>
  <c r="V15" i="2"/>
  <c r="Z15" i="2"/>
  <c r="O17" i="2"/>
  <c r="S17" i="2"/>
  <c r="W17" i="2"/>
  <c r="L19" i="2"/>
  <c r="P19" i="2"/>
  <c r="T19" i="2"/>
  <c r="X19" i="2"/>
  <c r="AB19" i="2"/>
  <c r="Y11" i="2"/>
  <c r="U11" i="2"/>
  <c r="U10" i="2"/>
  <c r="U9" i="2"/>
  <c r="T5" i="2"/>
  <c r="Z24" i="3" l="1"/>
  <c r="V24" i="3"/>
  <c r="Y24" i="3"/>
  <c r="U24" i="3"/>
  <c r="X24" i="3"/>
  <c r="T24" i="3"/>
  <c r="X26" i="3"/>
  <c r="T26" i="3"/>
  <c r="AA26" i="3"/>
  <c r="W26" i="3"/>
  <c r="Z26" i="3"/>
  <c r="V26" i="3"/>
  <c r="Y26" i="3"/>
  <c r="U26" i="3"/>
  <c r="U16" i="3"/>
  <c r="U14" i="3"/>
  <c r="Y25" i="3"/>
  <c r="U25" i="3"/>
  <c r="X25" i="3"/>
  <c r="T25" i="3"/>
  <c r="AA25" i="3"/>
  <c r="W25" i="3"/>
  <c r="Z25" i="3"/>
  <c r="V25" i="3"/>
  <c r="W22" i="3"/>
  <c r="X22" i="3"/>
  <c r="X20" i="3"/>
  <c r="V20" i="3"/>
  <c r="U20" i="3"/>
  <c r="T20" i="3"/>
  <c r="U27" i="3"/>
  <c r="W27" i="3"/>
  <c r="T23" i="3"/>
  <c r="U21" i="3"/>
  <c r="AG1" i="3"/>
  <c r="Y19" i="3"/>
  <c r="Y17" i="3"/>
  <c r="Y15" i="3"/>
  <c r="Y11" i="3"/>
  <c r="AA19" i="3"/>
  <c r="AI1" i="3"/>
  <c r="AI27" i="3" s="1"/>
  <c r="X27" i="3"/>
  <c r="Y27" i="3"/>
  <c r="AA27" i="3"/>
  <c r="U23" i="3"/>
  <c r="Y21" i="3"/>
  <c r="Z11" i="3"/>
  <c r="AH1" i="3"/>
  <c r="AH26" i="3" s="1"/>
  <c r="Z22" i="3"/>
  <c r="U13" i="3"/>
  <c r="U7" i="3"/>
  <c r="AC1" i="3"/>
  <c r="AC24" i="3" s="1"/>
  <c r="U10" i="3"/>
  <c r="U9" i="3"/>
  <c r="U19" i="3"/>
  <c r="U17" i="3"/>
  <c r="U15" i="3"/>
  <c r="U11" i="3"/>
  <c r="Y18" i="3"/>
  <c r="X19" i="3"/>
  <c r="X17" i="3"/>
  <c r="X15" i="3"/>
  <c r="X11" i="3"/>
  <c r="X9" i="3"/>
  <c r="AF1" i="3"/>
  <c r="AF24" i="3" s="1"/>
  <c r="X7" i="3"/>
  <c r="X10" i="3"/>
  <c r="X13" i="3"/>
  <c r="W19" i="3"/>
  <c r="W17" i="3"/>
  <c r="W15" i="3"/>
  <c r="W11" i="3"/>
  <c r="AE1" i="3"/>
  <c r="T19" i="3"/>
  <c r="T17" i="3"/>
  <c r="T15" i="3"/>
  <c r="T11" i="3"/>
  <c r="T8" i="3"/>
  <c r="T13" i="3"/>
  <c r="T7" i="3"/>
  <c r="AB1" i="3"/>
  <c r="AB25" i="3" s="1"/>
  <c r="T10" i="3"/>
  <c r="T6" i="3"/>
  <c r="T16" i="3"/>
  <c r="T14" i="3"/>
  <c r="T12" i="3"/>
  <c r="T9" i="3"/>
  <c r="T5" i="3"/>
  <c r="Y23" i="3"/>
  <c r="AA23" i="3"/>
  <c r="W21" i="3"/>
  <c r="X21" i="3"/>
  <c r="V10" i="3"/>
  <c r="V9" i="3"/>
  <c r="V11" i="3"/>
  <c r="AD1" i="3"/>
  <c r="AD25" i="3" s="1"/>
  <c r="V13" i="3"/>
  <c r="V7" i="3"/>
  <c r="X16" i="3"/>
  <c r="T22" i="3"/>
  <c r="Y22" i="3"/>
  <c r="AD1" i="2"/>
  <c r="V7" i="2"/>
  <c r="V9" i="2"/>
  <c r="V10" i="2"/>
  <c r="V11" i="2"/>
  <c r="AB24" i="2"/>
  <c r="AF24" i="2"/>
  <c r="Z24" i="2"/>
  <c r="V24" i="2"/>
  <c r="X24" i="2"/>
  <c r="AD24" i="2"/>
  <c r="Y24" i="2"/>
  <c r="U24" i="2"/>
  <c r="AC24" i="2"/>
  <c r="T24" i="2"/>
  <c r="AG24" i="2"/>
  <c r="AF27" i="2"/>
  <c r="AB27" i="2"/>
  <c r="X27" i="2"/>
  <c r="T27" i="2"/>
  <c r="U27" i="2"/>
  <c r="AI27" i="2"/>
  <c r="AE27" i="2"/>
  <c r="AA27" i="2"/>
  <c r="W27" i="2"/>
  <c r="AC27" i="2"/>
  <c r="Y27" i="2"/>
  <c r="AD27" i="2"/>
  <c r="Z27" i="2"/>
  <c r="V27" i="2"/>
  <c r="AG27" i="2"/>
  <c r="AE26" i="2"/>
  <c r="AA26" i="2"/>
  <c r="W26" i="2"/>
  <c r="T26" i="2"/>
  <c r="AD26" i="2"/>
  <c r="Z26" i="2"/>
  <c r="V26" i="2"/>
  <c r="AB26" i="2"/>
  <c r="AG26" i="2"/>
  <c r="AC26" i="2"/>
  <c r="Y26" i="2"/>
  <c r="U26" i="2"/>
  <c r="AF26" i="2"/>
  <c r="X26" i="2"/>
  <c r="V22" i="2"/>
  <c r="AD25" i="2"/>
  <c r="Z25" i="2"/>
  <c r="V25" i="2"/>
  <c r="W25" i="2"/>
  <c r="AG25" i="2"/>
  <c r="AC25" i="2"/>
  <c r="Y25" i="2"/>
  <c r="U25" i="2"/>
  <c r="AE25" i="2"/>
  <c r="AF25" i="2"/>
  <c r="AB25" i="2"/>
  <c r="X25" i="2"/>
  <c r="T25" i="2"/>
  <c r="AA25" i="2"/>
  <c r="V20" i="2"/>
  <c r="U20" i="2"/>
  <c r="AB20" i="2"/>
  <c r="T20" i="2"/>
  <c r="X20" i="2"/>
  <c r="AG23" i="2"/>
  <c r="AC23" i="2"/>
  <c r="Y23" i="2"/>
  <c r="U23" i="2"/>
  <c r="Z23" i="2"/>
  <c r="AF23" i="2"/>
  <c r="AB23" i="2"/>
  <c r="X23" i="2"/>
  <c r="T23" i="2"/>
  <c r="V23" i="2"/>
  <c r="AE23" i="2"/>
  <c r="AA23" i="2"/>
  <c r="W23" i="2"/>
  <c r="AD23" i="2"/>
  <c r="AH1" i="2"/>
  <c r="AH19" i="2" s="1"/>
  <c r="Z11" i="2"/>
  <c r="Z22" i="2"/>
  <c r="AD21" i="2"/>
  <c r="Y21" i="2"/>
  <c r="U21" i="2"/>
  <c r="AC21" i="2"/>
  <c r="X21" i="2"/>
  <c r="T21" i="2"/>
  <c r="AG21" i="2"/>
  <c r="AB21" i="2"/>
  <c r="W21" i="2"/>
  <c r="AF21" i="2"/>
  <c r="Z21" i="2"/>
  <c r="V21" i="2"/>
  <c r="AG17" i="3" l="1"/>
  <c r="AG15" i="3"/>
  <c r="AG19" i="3"/>
  <c r="AG18" i="3"/>
  <c r="AG22" i="3"/>
  <c r="AG21" i="3"/>
  <c r="AG23" i="3"/>
  <c r="AG27" i="3"/>
  <c r="AG26" i="3"/>
  <c r="AC25" i="3"/>
  <c r="AD24" i="3"/>
  <c r="AB19" i="3"/>
  <c r="AB17" i="3"/>
  <c r="AB15" i="3"/>
  <c r="AB13" i="3"/>
  <c r="AB11" i="3"/>
  <c r="AB7" i="3"/>
  <c r="AB10" i="3"/>
  <c r="AB16" i="3"/>
  <c r="AB14" i="3"/>
  <c r="AB9" i="3"/>
  <c r="AB23" i="3"/>
  <c r="AB27" i="3"/>
  <c r="AB22" i="3"/>
  <c r="AB21" i="3"/>
  <c r="AB18" i="3"/>
  <c r="AE19" i="3"/>
  <c r="AE27" i="3"/>
  <c r="AE23" i="3"/>
  <c r="AF19" i="3"/>
  <c r="AF11" i="3"/>
  <c r="AF22" i="3"/>
  <c r="AF15" i="3"/>
  <c r="AF18" i="3"/>
  <c r="AF21" i="3"/>
  <c r="AF17" i="3"/>
  <c r="AF23" i="3"/>
  <c r="AF27" i="3"/>
  <c r="AB20" i="3"/>
  <c r="AE25" i="3"/>
  <c r="AF25" i="3"/>
  <c r="AG25" i="3"/>
  <c r="AB26" i="3"/>
  <c r="AB24" i="3"/>
  <c r="AD17" i="3"/>
  <c r="AD15" i="3"/>
  <c r="AD11" i="3"/>
  <c r="AD21" i="3"/>
  <c r="AD27" i="3"/>
  <c r="AD18" i="3"/>
  <c r="AD19" i="3"/>
  <c r="AD22" i="3"/>
  <c r="AD23" i="3"/>
  <c r="AC17" i="3"/>
  <c r="AC15" i="3"/>
  <c r="AC11" i="3"/>
  <c r="AC19" i="3"/>
  <c r="AC27" i="3"/>
  <c r="AC18" i="3"/>
  <c r="AC22" i="3"/>
  <c r="AC21" i="3"/>
  <c r="AC23" i="3"/>
  <c r="AH23" i="3"/>
  <c r="AH19" i="3"/>
  <c r="AH27" i="3"/>
  <c r="AH25" i="3"/>
  <c r="AC26" i="3"/>
  <c r="AD26" i="3"/>
  <c r="AE26" i="3"/>
  <c r="AF26" i="3"/>
  <c r="AG24" i="3"/>
  <c r="AH23" i="2"/>
  <c r="AH25" i="2"/>
  <c r="AH26" i="2"/>
  <c r="AH27" i="2"/>
  <c r="AD11" i="2"/>
  <c r="AD17" i="2"/>
  <c r="AD22" i="2"/>
  <c r="AD19" i="2"/>
  <c r="AD15" i="2"/>
  <c r="AD18" i="2"/>
</calcChain>
</file>

<file path=xl/sharedStrings.xml><?xml version="1.0" encoding="utf-8"?>
<sst xmlns="http://schemas.openxmlformats.org/spreadsheetml/2006/main" count="1052" uniqueCount="1052">
  <si>
    <t>From/To</t>
  </si>
  <si>
    <t>All</t>
  </si>
  <si>
    <t>andet001</t>
  </si>
  <si>
    <t>eatoa002</t>
  </si>
  <si>
    <t>abrej003</t>
  </si>
  <si>
    <t>moncy001</t>
  </si>
  <si>
    <t>fletd002</t>
  </si>
  <si>
    <t>ohtas001</t>
  </si>
  <si>
    <t>troum001</t>
  </si>
  <si>
    <t>grany001</t>
  </si>
  <si>
    <t>garcl004</t>
  </si>
  <si>
    <t>robel002</t>
  </si>
  <si>
    <t>collz001</t>
  </si>
  <si>
    <t>renda001</t>
  </si>
  <si>
    <t>uptoj001</t>
  </si>
  <si>
    <t>pujoa001</t>
  </si>
  <si>
    <t>madrn001</t>
  </si>
  <si>
    <t>iglej001</t>
  </si>
  <si>
    <t>stasm001</t>
  </si>
  <si>
    <t>fowld001</t>
  </si>
  <si>
    <t>vauga001</t>
  </si>
  <si>
    <t>mercy001</t>
  </si>
  <si>
    <t>hamib001</t>
  </si>
  <si>
    <t>rojaj002</t>
  </si>
  <si>
    <t>walsj001</t>
  </si>
  <si>
    <t>suzuk001</t>
  </si>
  <si>
    <t>lagaj001</t>
  </si>
  <si>
    <t>altuj001</t>
  </si>
  <si>
    <t>gurry001</t>
  </si>
  <si>
    <t>brega001</t>
  </si>
  <si>
    <t>alvay001</t>
  </si>
  <si>
    <t>corrc001</t>
  </si>
  <si>
    <t>tuckk001</t>
  </si>
  <si>
    <t>diaza003</t>
  </si>
  <si>
    <t>stram002</t>
  </si>
  <si>
    <t>maldm001</t>
  </si>
  <si>
    <t>mccoc001</t>
  </si>
  <si>
    <t>garcr005</t>
  </si>
  <si>
    <t>garvm001</t>
  </si>
  <si>
    <t>donaj001</t>
  </si>
  <si>
    <t>cruzn002</t>
  </si>
  <si>
    <t>garlk001</t>
  </si>
  <si>
    <t>arral001</t>
  </si>
  <si>
    <t>sanom001</t>
  </si>
  <si>
    <t>polaj001</t>
  </si>
  <si>
    <t>keplm001</t>
  </si>
  <si>
    <t>cavej001</t>
  </si>
  <si>
    <t>rengl001</t>
  </si>
  <si>
    <t>riddj001</t>
  </si>
  <si>
    <t>kinei001</t>
  </si>
  <si>
    <t>dahld001</t>
  </si>
  <si>
    <t>gallj002</t>
  </si>
  <si>
    <t>lowen001</t>
  </si>
  <si>
    <t>solan001</t>
  </si>
  <si>
    <t>calhw001</t>
  </si>
  <si>
    <t>trevj001</t>
  </si>
  <si>
    <t>garca005</t>
  </si>
  <si>
    <t>holtb002</t>
  </si>
  <si>
    <t>culbc001</t>
  </si>
  <si>
    <t>sches001</t>
  </si>
  <si>
    <t>bemba001</t>
  </si>
  <si>
    <t>heimj001</t>
  </si>
  <si>
    <t>white006</t>
  </si>
  <si>
    <t>tavel001</t>
  </si>
  <si>
    <t>arozr001</t>
  </si>
  <si>
    <t>brosm001</t>
  </si>
  <si>
    <t>meada001</t>
  </si>
  <si>
    <t>diazy001</t>
  </si>
  <si>
    <t>margm001</t>
  </si>
  <si>
    <t>loweb001</t>
  </si>
  <si>
    <t>mejif001</t>
  </si>
  <si>
    <t>adamw002</t>
  </si>
  <si>
    <t>kierk001</t>
  </si>
  <si>
    <t>wendj002</t>
  </si>
  <si>
    <t>zunim001</t>
  </si>
  <si>
    <t>gossp001</t>
  </si>
  <si>
    <t>tsuty001</t>
  </si>
  <si>
    <t>philb002</t>
  </si>
  <si>
    <t>wardt002</t>
  </si>
  <si>
    <t>bettm001</t>
  </si>
  <si>
    <t>seagc001</t>
  </si>
  <si>
    <t>turnj001</t>
  </si>
  <si>
    <t>muncm001</t>
  </si>
  <si>
    <t>smitw003</t>
  </si>
  <si>
    <t>taylc001</t>
  </si>
  <si>
    <t>polla001</t>
  </si>
  <si>
    <t>beatm001</t>
  </si>
  <si>
    <t>lux-g001</t>
  </si>
  <si>
    <t>buted001</t>
  </si>
  <si>
    <t>neuss001</t>
  </si>
  <si>
    <t>ruizk001</t>
  </si>
  <si>
    <t>ucete001</t>
  </si>
  <si>
    <t>barna001</t>
  </si>
  <si>
    <t>jay-j001</t>
  </si>
  <si>
    <t>peted004</t>
  </si>
  <si>
    <t>hernc005</t>
  </si>
  <si>
    <t>luplj001</t>
  </si>
  <si>
    <t>ramij003</t>
  </si>
  <si>
    <t>reyef001</t>
  </si>
  <si>
    <t>rosae001</t>
  </si>
  <si>
    <t>ramih004</t>
  </si>
  <si>
    <t>naylj001</t>
  </si>
  <si>
    <t>rosaa003</t>
  </si>
  <si>
    <t>river003</t>
  </si>
  <si>
    <t>bauej001</t>
  </si>
  <si>
    <t>chany001</t>
  </si>
  <si>
    <t>hedga001</t>
  </si>
  <si>
    <t>astuw001</t>
  </si>
  <si>
    <t>larnt001</t>
  </si>
  <si>
    <t>refsr001</t>
  </si>
  <si>
    <t>simma001</t>
  </si>
  <si>
    <t>canhm001</t>
  </si>
  <si>
    <t>chapm001</t>
  </si>
  <si>
    <t>laurr001</t>
  </si>
  <si>
    <t>olsom001</t>
  </si>
  <si>
    <t>pindc001</t>
  </si>
  <si>
    <t>lowrj001</t>
  </si>
  <si>
    <t>murps001</t>
  </si>
  <si>
    <t>piscs001</t>
  </si>
  <si>
    <t>andre001</t>
  </si>
  <si>
    <t>garca006</t>
  </si>
  <si>
    <t>brows003</t>
  </si>
  <si>
    <t>barrl001</t>
  </si>
  <si>
    <t>kempt001</t>
  </si>
  <si>
    <t>davik003</t>
  </si>
  <si>
    <t>martj009</t>
  </si>
  <si>
    <t>crawj002</t>
  </si>
  <si>
    <t>hanim001</t>
  </si>
  <si>
    <t>seagk001</t>
  </si>
  <si>
    <t>frant002</t>
  </si>
  <si>
    <t>kelej001</t>
  </si>
  <si>
    <t>godoj001</t>
  </si>
  <si>
    <t>tramt001</t>
  </si>
  <si>
    <t>fralj001</t>
  </si>
  <si>
    <t>waltd002</t>
  </si>
  <si>
    <t>wongk002</t>
  </si>
  <si>
    <t>murpt002</t>
  </si>
  <si>
    <t>nottj001</t>
  </si>
  <si>
    <t>mayfj001</t>
  </si>
  <si>
    <t>merrw001</t>
  </si>
  <si>
    <t>santc002</t>
  </si>
  <si>
    <t>benia002</t>
  </si>
  <si>
    <t>peres002</t>
  </si>
  <si>
    <t>gutik001</t>
  </si>
  <si>
    <t>solej001</t>
  </si>
  <si>
    <t>taylm002</t>
  </si>
  <si>
    <t>dozih001</t>
  </si>
  <si>
    <t>lopen001</t>
  </si>
  <si>
    <t>olive001</t>
  </si>
  <si>
    <t>albeh001</t>
  </si>
  <si>
    <t>grosr001</t>
  </si>
  <si>
    <t>schoj001</t>
  </si>
  <si>
    <t>candj002</t>
  </si>
  <si>
    <t>cabrm001</t>
  </si>
  <si>
    <t>casth001</t>
  </si>
  <si>
    <t>haase001</t>
  </si>
  <si>
    <t>badda001</t>
  </si>
  <si>
    <t>castw003</t>
  </si>
  <si>
    <t>camed001</t>
  </si>
  <si>
    <t>goodn002</t>
  </si>
  <si>
    <t>mazan001</t>
  </si>
  <si>
    <t>rogej004</t>
  </si>
  <si>
    <t>parei001</t>
  </si>
  <si>
    <t>slata001</t>
  </si>
  <si>
    <t>yastm001</t>
  </si>
  <si>
    <t>ruf-d001</t>
  </si>
  <si>
    <t>poseb001</t>
  </si>
  <si>
    <t>beltb001</t>
  </si>
  <si>
    <t>florw001</t>
  </si>
  <si>
    <t>crawb001</t>
  </si>
  <si>
    <t>solad001</t>
  </si>
  <si>
    <t>dubom001</t>
  </si>
  <si>
    <t>taucm001</t>
  </si>
  <si>
    <t>dicka001</t>
  </si>
  <si>
    <t>duggs001</t>
  </si>
  <si>
    <t>canng001</t>
  </si>
  <si>
    <t>bundd001</t>
  </si>
  <si>
    <t>mullc002</t>
  </si>
  <si>
    <t>haysa001</t>
  </si>
  <si>
    <t>manct001</t>
  </si>
  <si>
    <t>mounr001</t>
  </si>
  <si>
    <t>santa003</t>
  </si>
  <si>
    <t>sevep001</t>
  </si>
  <si>
    <t>leybd001</t>
  </si>
  <si>
    <t>uriar001</t>
  </si>
  <si>
    <t>valap001</t>
  </si>
  <si>
    <t>mcker001</t>
  </si>
  <si>
    <t>stewd002</t>
  </si>
  <si>
    <t>wynna001</t>
  </si>
  <si>
    <t>herne001</t>
  </si>
  <si>
    <t>dever001</t>
  </si>
  <si>
    <t>martj006</t>
  </si>
  <si>
    <t>bogax001</t>
  </si>
  <si>
    <t>renfh001</t>
  </si>
  <si>
    <t>vazqc001</t>
  </si>
  <si>
    <t>arroc001</t>
  </si>
  <si>
    <t>gonzm002</t>
  </si>
  <si>
    <t>dalbb001</t>
  </si>
  <si>
    <t>santd001</t>
  </si>
  <si>
    <t>verda001</t>
  </si>
  <si>
    <t>wongc001</t>
  </si>
  <si>
    <t>torrl001</t>
  </si>
  <si>
    <t>ralec001</t>
  </si>
  <si>
    <t>moord002</t>
  </si>
  <si>
    <t>longs001</t>
  </si>
  <si>
    <t>marsb002</t>
  </si>
  <si>
    <t>tapir001</t>
  </si>
  <si>
    <t>rodgb002</t>
  </si>
  <si>
    <t>blacc001</t>
  </si>
  <si>
    <t>stort001</t>
  </si>
  <si>
    <t>cronc002</t>
  </si>
  <si>
    <t>hills005</t>
  </si>
  <si>
    <t>joe-c001</t>
  </si>
  <si>
    <t>fuenj001</t>
  </si>
  <si>
    <t>nuned001</t>
  </si>
  <si>
    <t>mcmar001</t>
  </si>
  <si>
    <t>diaze005</t>
  </si>
  <si>
    <t>hampg001</t>
  </si>
  <si>
    <t>ruizr002</t>
  </si>
  <si>
    <t>marts002</t>
  </si>
  <si>
    <t>morem001</t>
  </si>
  <si>
    <t>thaim001</t>
  </si>
  <si>
    <t>gomey001</t>
  </si>
  <si>
    <t>harrj002</t>
  </si>
  <si>
    <t>sprig001</t>
  </si>
  <si>
    <t>guerv002</t>
  </si>
  <si>
    <t>semim001</t>
  </si>
  <si>
    <t>bichb001</t>
  </si>
  <si>
    <t>hernt002</t>
  </si>
  <si>
    <t>kirka001</t>
  </si>
  <si>
    <t>gurrl001</t>
  </si>
  <si>
    <t>gricr001</t>
  </si>
  <si>
    <t>espis001</t>
  </si>
  <si>
    <t>dickc002</t>
  </si>
  <si>
    <t>valeb001</t>
  </si>
  <si>
    <t>adelj001</t>
  </si>
  <si>
    <t>mcgur002</t>
  </si>
  <si>
    <t>branm003</t>
  </si>
  <si>
    <t>wilsj005</t>
  </si>
  <si>
    <t>castj006</t>
  </si>
  <si>
    <t>meyej002</t>
  </si>
  <si>
    <t>tatif002</t>
  </si>
  <si>
    <t>cronj001</t>
  </si>
  <si>
    <t>machm001</t>
  </si>
  <si>
    <t>hosme001</t>
  </si>
  <si>
    <t>nolaa002</t>
  </si>
  <si>
    <t>grist001</t>
  </si>
  <si>
    <t>kim-h002</t>
  </si>
  <si>
    <t>profj001</t>
  </si>
  <si>
    <t>marij002</t>
  </si>
  <si>
    <t>phamt001</t>
  </si>
  <si>
    <t>myerw001</t>
  </si>
  <si>
    <t>carav001</t>
  </si>
  <si>
    <t>lemad001</t>
  </si>
  <si>
    <t>rizza001</t>
  </si>
  <si>
    <t>judga001</t>
  </si>
  <si>
    <t>stanm004</t>
  </si>
  <si>
    <t>urshg001</t>
  </si>
  <si>
    <t>sancg002</t>
  </si>
  <si>
    <t>gardb001</t>
  </si>
  <si>
    <t>velaa001</t>
  </si>
  <si>
    <t>voitl001</t>
  </si>
  <si>
    <t>odorr001</t>
  </si>
  <si>
    <t>higak001</t>
  </si>
  <si>
    <t>herny003</t>
  </si>
  <si>
    <t>pozoy001</t>
  </si>
  <si>
    <t>sirij001</t>
  </si>
  <si>
    <t>toroa001</t>
  </si>
  <si>
    <t>winkj002</t>
  </si>
  <si>
    <t>castn001</t>
  </si>
  <si>
    <t>vottj001</t>
  </si>
  <si>
    <t>suare001</t>
  </si>
  <si>
    <t>locat001</t>
  </si>
  <si>
    <t>calhk001</t>
  </si>
  <si>
    <t>walkc002</t>
  </si>
  <si>
    <t>perad001</t>
  </si>
  <si>
    <t>cabra002</t>
  </si>
  <si>
    <t>mousm001</t>
  </si>
  <si>
    <t>naqut001</t>
  </si>
  <si>
    <t>indij001</t>
  </si>
  <si>
    <t>escoe001</t>
  </si>
  <si>
    <t>rojaj001</t>
  </si>
  <si>
    <t>kellc002</t>
  </si>
  <si>
    <t>widet001</t>
  </si>
  <si>
    <t>barnt001</t>
  </si>
  <si>
    <t>mahlt001</t>
  </si>
  <si>
    <t>blana002</t>
  </si>
  <si>
    <t>vanmj001</t>
  </si>
  <si>
    <t>antot001</t>
  </si>
  <si>
    <t>senzn001</t>
  </si>
  <si>
    <t>smitp002</t>
  </si>
  <si>
    <t>mathw001</t>
  </si>
  <si>
    <t>farmk001</t>
  </si>
  <si>
    <t>bumgm001</t>
  </si>
  <si>
    <t>aquia001</t>
  </si>
  <si>
    <t>stept001</t>
  </si>
  <si>
    <t>hoffj003</t>
  </si>
  <si>
    <t>ahmen001</t>
  </si>
  <si>
    <t>vogts001</t>
  </si>
  <si>
    <t>smitr005</t>
  </si>
  <si>
    <t>weavl001</t>
  </si>
  <si>
    <t>delej003</t>
  </si>
  <si>
    <t>bassc001</t>
  </si>
  <si>
    <t>youna003</t>
  </si>
  <si>
    <t>tom-k001</t>
  </si>
  <si>
    <t>diekj001</t>
  </si>
  <si>
    <t>luzaj001</t>
  </si>
  <si>
    <t>gallz001</t>
  </si>
  <si>
    <t>clart003</t>
  </si>
  <si>
    <t>heatn002</t>
  </si>
  <si>
    <t>kellm002</t>
  </si>
  <si>
    <t>paddc001</t>
  </si>
  <si>
    <t>matej003</t>
  </si>
  <si>
    <t>ramin003</t>
  </si>
  <si>
    <t>varsd001</t>
  </si>
  <si>
    <t>dazay001</t>
  </si>
  <si>
    <t>senza001</t>
  </si>
  <si>
    <t>adamm002</t>
  </si>
  <si>
    <t>grayj003</t>
  </si>
  <si>
    <t>gomba001</t>
  </si>
  <si>
    <t>treja001</t>
  </si>
  <si>
    <t>gonzc002</t>
  </si>
  <si>
    <t>diazi001</t>
  </si>
  <si>
    <t>aguij001</t>
  </si>
  <si>
    <t>coopg002</t>
  </si>
  <si>
    <t>andeb006</t>
  </si>
  <si>
    <t>brinl001</t>
  </si>
  <si>
    <t>wallc001</t>
  </si>
  <si>
    <t>bertj001</t>
  </si>
  <si>
    <t>hollj002</t>
  </si>
  <si>
    <t>sierm002</t>
  </si>
  <si>
    <t>rojam002</t>
  </si>
  <si>
    <t>leons001</t>
  </si>
  <si>
    <t>duvaa001</t>
  </si>
  <si>
    <t>lopep002</t>
  </si>
  <si>
    <t>potec001</t>
  </si>
  <si>
    <t>peacm001</t>
  </si>
  <si>
    <t>bleir001</t>
  </si>
  <si>
    <t>roget003</t>
  </si>
  <si>
    <t>turnt001</t>
  </si>
  <si>
    <t>sotoj001</t>
  </si>
  <si>
    <t>schwk001</t>
  </si>
  <si>
    <t>casts001</t>
  </si>
  <si>
    <t>bellj005</t>
  </si>
  <si>
    <t>schem001</t>
  </si>
  <si>
    <t>roblv001</t>
  </si>
  <si>
    <t>smitc006</t>
  </si>
  <si>
    <t>steva001</t>
  </si>
  <si>
    <t>mercj002</t>
  </si>
  <si>
    <t>herny002</t>
  </si>
  <si>
    <t>espip001</t>
  </si>
  <si>
    <t>frans001</t>
  </si>
  <si>
    <t>rossj002</t>
  </si>
  <si>
    <t>zimmr001</t>
  </si>
  <si>
    <t>avila001</t>
  </si>
  <si>
    <t>fedde001</t>
  </si>
  <si>
    <t>youna002</t>
  </si>
  <si>
    <t>longe001</t>
  </si>
  <si>
    <t>martk001</t>
  </si>
  <si>
    <t>gausk001</t>
  </si>
  <si>
    <t>martc009</t>
  </si>
  <si>
    <t>casac001</t>
  </si>
  <si>
    <t>reddj001</t>
  </si>
  <si>
    <t>cuetj001</t>
  </si>
  <si>
    <t>voslj001</t>
  </si>
  <si>
    <t>desca001</t>
  </si>
  <si>
    <t>edmat001</t>
  </si>
  <si>
    <t>carld002</t>
  </si>
  <si>
    <t>goldp001</t>
  </si>
  <si>
    <t>arenn001</t>
  </si>
  <si>
    <t>moliy001</t>
  </si>
  <si>
    <t>oneit001</t>
  </si>
  <si>
    <t>sosae001</t>
  </si>
  <si>
    <t>willj006</t>
  </si>
  <si>
    <t>martc006</t>
  </si>
  <si>
    <t>duplj001</t>
  </si>
  <si>
    <t>carpm002</t>
  </si>
  <si>
    <t>thoml002</t>
  </si>
  <si>
    <t>oviej001</t>
  </si>
  <si>
    <t>woodj003</t>
  </si>
  <si>
    <t>waina001</t>
  </si>
  <si>
    <t>rondj002</t>
  </si>
  <si>
    <t>kniza001</t>
  </si>
  <si>
    <t>kim-k001</t>
  </si>
  <si>
    <t>villj001</t>
  </si>
  <si>
    <t>lindf001</t>
  </si>
  <si>
    <t>alonp001</t>
  </si>
  <si>
    <t>smitd008</t>
  </si>
  <si>
    <t>mccaj001</t>
  </si>
  <si>
    <t>mckib001</t>
  </si>
  <si>
    <t>peraj003</t>
  </si>
  <si>
    <t>willm007</t>
  </si>
  <si>
    <t>degrj001</t>
  </si>
  <si>
    <t>pillk001</t>
  </si>
  <si>
    <t>drurb001</t>
  </si>
  <si>
    <t>nidot001</t>
  </si>
  <si>
    <t>strom001</t>
  </si>
  <si>
    <t>vargi001</t>
  </si>
  <si>
    <t>gselr001</t>
  </si>
  <si>
    <t>blant002</t>
  </si>
  <si>
    <t>cobba001</t>
  </si>
  <si>
    <t>suarj001</t>
  </si>
  <si>
    <t>sandp002</t>
  </si>
  <si>
    <t>souzs001</t>
  </si>
  <si>
    <t>bauet001</t>
  </si>
  <si>
    <t>burna003</t>
  </si>
  <si>
    <t>mckiz001</t>
  </si>
  <si>
    <t>buehw001</t>
  </si>
  <si>
    <t>gonst001</t>
  </si>
  <si>
    <t>cleag001</t>
  </si>
  <si>
    <t>wongk001</t>
  </si>
  <si>
    <t>voged001</t>
  </si>
  <si>
    <t>yelic001</t>
  </si>
  <si>
    <t>garca003</t>
  </si>
  <si>
    <t>narvo001</t>
  </si>
  <si>
    <t>urial001</t>
  </si>
  <si>
    <t>bradj001</t>
  </si>
  <si>
    <t>andeb004</t>
  </si>
  <si>
    <t>milnh001</t>
  </si>
  <si>
    <t>fishd001</t>
  </si>
  <si>
    <t>petej002</t>
  </si>
  <si>
    <t>peraf001</t>
  </si>
  <si>
    <t>taylt002</t>
  </si>
  <si>
    <t>robed004</t>
  </si>
  <si>
    <t>hiurk001</t>
  </si>
  <si>
    <t>pinam001</t>
  </si>
  <si>
    <t>woodb005</t>
  </si>
  <si>
    <t>wadel001</t>
  </si>
  <si>
    <t>davij008</t>
  </si>
  <si>
    <t>estrt001</t>
  </si>
  <si>
    <t>wooda002</t>
  </si>
  <si>
    <t>longs002</t>
  </si>
  <si>
    <t>farij001</t>
  </si>
  <si>
    <t>casth002</t>
  </si>
  <si>
    <t>owinc001</t>
  </si>
  <si>
    <t>fairs001</t>
  </si>
  <si>
    <t>holab001</t>
  </si>
  <si>
    <t>contw001</t>
  </si>
  <si>
    <t>bryak001</t>
  </si>
  <si>
    <t>baezj001</t>
  </si>
  <si>
    <t>wisdp001</t>
  </si>
  <si>
    <t>hoern001</t>
  </si>
  <si>
    <t>happi001</t>
  </si>
  <si>
    <t>hendk001</t>
  </si>
  <si>
    <t>heywj001</t>
  </si>
  <si>
    <t>orter001</t>
  </si>
  <si>
    <t>alzoa001</t>
  </si>
  <si>
    <t>sogae001</t>
  </si>
  <si>
    <t>chirr001</t>
  </si>
  <si>
    <t>daviz001</t>
  </si>
  <si>
    <t>newmk001</t>
  </si>
  <si>
    <t>hayek001</t>
  </si>
  <si>
    <t>reynb001</t>
  </si>
  <si>
    <t>nogoj001</t>
  </si>
  <si>
    <t>gameb001</t>
  </si>
  <si>
    <t>stalj001</t>
  </si>
  <si>
    <t>difow001</t>
  </si>
  <si>
    <t>evanp001</t>
  </si>
  <si>
    <t>dejoc001</t>
  </si>
  <si>
    <t>olivj003</t>
  </si>
  <si>
    <t>fraza001</t>
  </si>
  <si>
    <t>polag001</t>
  </si>
  <si>
    <t>perem005</t>
  </si>
  <si>
    <t>andet002</t>
  </si>
  <si>
    <t>kranm001</t>
  </si>
  <si>
    <t>bellc002</t>
  </si>
  <si>
    <t>ellid002</t>
  </si>
  <si>
    <t>whitm004</t>
  </si>
  <si>
    <t>uriaj001</t>
  </si>
  <si>
    <t>hagej001</t>
  </si>
  <si>
    <t>bickp001</t>
  </si>
  <si>
    <t>ramiy001</t>
  </si>
  <si>
    <t>lastt001</t>
  </si>
  <si>
    <t>darvy001</t>
  </si>
  <si>
    <t>ograb001</t>
  </si>
  <si>
    <t>snelb001</t>
  </si>
  <si>
    <t>gilbt001</t>
  </si>
  <si>
    <t>musgj001</t>
  </si>
  <si>
    <t>stamc001</t>
  </si>
  <si>
    <t>knehr001</t>
  </si>
  <si>
    <t>seguj002</t>
  </si>
  <si>
    <t>realj001</t>
  </si>
  <si>
    <t>harpb003</t>
  </si>
  <si>
    <t>gregd001</t>
  </si>
  <si>
    <t>mccua001</t>
  </si>
  <si>
    <t>millb002</t>
  </si>
  <si>
    <t>torrr001</t>
  </si>
  <si>
    <t>jankt001</t>
  </si>
  <si>
    <t>gibsk002</t>
  </si>
  <si>
    <t>herro001</t>
  </si>
  <si>
    <t>bohma001</t>
  </si>
  <si>
    <t>suarr001</t>
  </si>
  <si>
    <t>willl001</t>
  </si>
  <si>
    <t>wheez001</t>
  </si>
  <si>
    <t>mccaj003</t>
  </si>
  <si>
    <t>padlk001</t>
  </si>
  <si>
    <t>marmj001</t>
  </si>
  <si>
    <t>gonzm005</t>
  </si>
  <si>
    <t>flexc001</t>
  </si>
  <si>
    <t>ramoh001</t>
  </si>
  <si>
    <t>lylej001</t>
  </si>
  <si>
    <t>arihk001</t>
  </si>
  <si>
    <t>freef001</t>
  </si>
  <si>
    <t>albio001</t>
  </si>
  <si>
    <t>rilea001</t>
  </si>
  <si>
    <t>swand001</t>
  </si>
  <si>
    <t>contw002</t>
  </si>
  <si>
    <t>ynoah001</t>
  </si>
  <si>
    <t>mejih001</t>
  </si>
  <si>
    <t>friem001</t>
  </si>
  <si>
    <t>pedej001</t>
  </si>
  <si>
    <t>hereg002</t>
  </si>
  <si>
    <t>darnt001</t>
  </si>
  <si>
    <t>chavj001</t>
  </si>
  <si>
    <t>smyld001</t>
  </si>
  <si>
    <t>adrie001</t>
  </si>
  <si>
    <t>andei001</t>
  </si>
  <si>
    <t>mortc002</t>
  </si>
  <si>
    <t>kersc001</t>
  </si>
  <si>
    <t>perdg001</t>
  </si>
  <si>
    <t>welkc001</t>
  </si>
  <si>
    <t>gouda001</t>
  </si>
  <si>
    <t>bardd001</t>
  </si>
  <si>
    <t>hoskr001</t>
  </si>
  <si>
    <t>acunr001</t>
  </si>
  <si>
    <t>ozunm001</t>
  </si>
  <si>
    <t>pachc001</t>
  </si>
  <si>
    <t>hasea001</t>
  </si>
  <si>
    <t>quinr003</t>
  </si>
  <si>
    <t>incie001</t>
  </si>
  <si>
    <t>knapa001</t>
  </si>
  <si>
    <t>efliz001</t>
  </si>
  <si>
    <t>moorm003</t>
  </si>
  <si>
    <t>joycm001</t>
  </si>
  <si>
    <t>sandp001</t>
  </si>
  <si>
    <t>chisj001</t>
  </si>
  <si>
    <t>jacka002</t>
  </si>
  <si>
    <t>alcas001</t>
  </si>
  <si>
    <t>alfaj002</t>
  </si>
  <si>
    <t>curtj003</t>
  </si>
  <si>
    <t>neidn001</t>
  </si>
  <si>
    <t>wilsb003</t>
  </si>
  <si>
    <t>boted002</t>
  </si>
  <si>
    <t>woltt001</t>
  </si>
  <si>
    <t>duffm002</t>
  </si>
  <si>
    <t>willt002</t>
  </si>
  <si>
    <t>milla003</t>
  </si>
  <si>
    <t>camaj001</t>
  </si>
  <si>
    <t>tomlj001</t>
  </si>
  <si>
    <t>kings001</t>
  </si>
  <si>
    <t>velav001</t>
  </si>
  <si>
    <t>maton001</t>
  </si>
  <si>
    <t>nolaa001</t>
  </si>
  <si>
    <t>biggc002</t>
  </si>
  <si>
    <t>ray-r002</t>
  </si>
  <si>
    <t>jansd001</t>
  </si>
  <si>
    <t>davij007</t>
  </si>
  <si>
    <t>tellr001</t>
  </si>
  <si>
    <t>ryu-h001</t>
  </si>
  <si>
    <t>mathj001</t>
  </si>
  <si>
    <t>strir001</t>
  </si>
  <si>
    <t>webbj002</t>
  </si>
  <si>
    <t>walkt004</t>
  </si>
  <si>
    <t>fargj001</t>
  </si>
  <si>
    <t>reids001</t>
  </si>
  <si>
    <t>lee-k001</t>
  </si>
  <si>
    <t>huntt002</t>
  </si>
  <si>
    <t>davit005</t>
  </si>
  <si>
    <t>mazep001</t>
  </si>
  <si>
    <t>maybc001</t>
  </si>
  <si>
    <t>peted003</t>
  </si>
  <si>
    <t>gonze004</t>
  </si>
  <si>
    <t>craiw001</t>
  </si>
  <si>
    <t>croww001</t>
  </si>
  <si>
    <t>smitk002</t>
  </si>
  <si>
    <t>tuckc001</t>
  </si>
  <si>
    <t>kellm003</t>
  </si>
  <si>
    <t>brubj001</t>
  </si>
  <si>
    <t>almoa001</t>
  </si>
  <si>
    <t>stras001</t>
  </si>
  <si>
    <t>votha001</t>
  </si>
  <si>
    <t>lestj001</t>
  </si>
  <si>
    <t>corbp001</t>
  </si>
  <si>
    <t>rodre004</t>
  </si>
  <si>
    <t>newcs001</t>
  </si>
  <si>
    <t>whitg002</t>
  </si>
  <si>
    <t>richg002</t>
  </si>
  <si>
    <t>mullk001</t>
  </si>
  <si>
    <t>plawk001</t>
  </si>
  <si>
    <t>dejop001</t>
  </si>
  <si>
    <t>gantj002</t>
  </si>
  <si>
    <t>leblw001</t>
  </si>
  <si>
    <t>mcnej002</t>
  </si>
  <si>
    <t>confm001</t>
  </si>
  <si>
    <t>guill001</t>
  </si>
  <si>
    <t>megit002</t>
  </si>
  <si>
    <t>almoa002</t>
  </si>
  <si>
    <t>szapt001</t>
  </si>
  <si>
    <t>detwr001</t>
  </si>
  <si>
    <t>benda001</t>
  </si>
  <si>
    <t>sancj003</t>
  </si>
  <si>
    <t>panij002</t>
  </si>
  <si>
    <t>arcio002</t>
  </si>
  <si>
    <t>thomz001</t>
  </si>
  <si>
    <t>choij001</t>
  </si>
  <si>
    <t>franw002</t>
  </si>
  <si>
    <t>wallt003</t>
  </si>
  <si>
    <t>wachm001</t>
  </si>
  <si>
    <t>brujv001</t>
  </si>
  <si>
    <t>flemj001</t>
  </si>
  <si>
    <t>hillr001</t>
  </si>
  <si>
    <t>toust001</t>
  </si>
  <si>
    <t>rivaw001</t>
  </si>
  <si>
    <t>burnc002</t>
  </si>
  <si>
    <t>reyep001</t>
  </si>
  <si>
    <t>cainl001</t>
  </si>
  <si>
    <t>escoa003</t>
  </si>
  <si>
    <t>kiebc001</t>
  </si>
  <si>
    <t>garcl006</t>
  </si>
  <si>
    <t>barrt004</t>
  </si>
  <si>
    <t>parrg001</t>
  </si>
  <si>
    <t>sanca007</t>
  </si>
  <si>
    <t>adamr004</t>
  </si>
  <si>
    <t>grayj004</t>
  </si>
  <si>
    <t>akiys001</t>
  </si>
  <si>
    <t>grays001</t>
  </si>
  <si>
    <t>milew001</t>
  </si>
  <si>
    <t>gutiv001</t>
  </si>
  <si>
    <t>montj004</t>
  </si>
  <si>
    <t>heana001</t>
  </si>
  <si>
    <t>webbl001</t>
  </si>
  <si>
    <t>murpp001</t>
  </si>
  <si>
    <t>suerw002</t>
  </si>
  <si>
    <t>delab001</t>
  </si>
  <si>
    <t>diazl001</t>
  </si>
  <si>
    <t>alvae001</t>
  </si>
  <si>
    <t>herne002</t>
  </si>
  <si>
    <t>cabre003</t>
  </si>
  <si>
    <t>galvf001</t>
  </si>
  <si>
    <t>vierm001</t>
  </si>
  <si>
    <t>nimmb001</t>
  </si>
  <si>
    <t>carrc003</t>
  </si>
  <si>
    <t>minta001</t>
  </si>
  <si>
    <t>stris002</t>
  </si>
  <si>
    <t>franm004</t>
  </si>
  <si>
    <t>cordf003</t>
  </si>
  <si>
    <t>siscc001</t>
  </si>
  <si>
    <t>white005</t>
  </si>
  <si>
    <t>bishb001</t>
  </si>
  <si>
    <t>haggs001</t>
  </si>
  <si>
    <t>machv001</t>
  </si>
  <si>
    <t>torrg001</t>
  </si>
  <si>
    <t>hicka001</t>
  </si>
  <si>
    <t>frazc001</t>
  </si>
  <si>
    <t>fordm002</t>
  </si>
  <si>
    <t>wadet002</t>
  </si>
  <si>
    <t>chavm001</t>
  </si>
  <si>
    <t>andum001</t>
  </si>
  <si>
    <t>lamar001</t>
  </si>
  <si>
    <t>wilks001</t>
  </si>
  <si>
    <t>kiria001</t>
  </si>
  <si>
    <t>rortb001</t>
  </si>
  <si>
    <t>gordn001</t>
  </si>
  <si>
    <t>jeffr002</t>
  </si>
  <si>
    <t>celeg001</t>
  </si>
  <si>
    <t>millo002</t>
  </si>
  <si>
    <t>zimmb001</t>
  </si>
  <si>
    <t>bradb002</t>
  </si>
  <si>
    <t>hoyij001</t>
  </si>
  <si>
    <t>jonet005</t>
  </si>
  <si>
    <t>stubg001</t>
  </si>
  <si>
    <t>goodb001</t>
  </si>
  <si>
    <t>engea001</t>
  </si>
  <si>
    <t>sheeg001</t>
  </si>
  <si>
    <t>zavas001</t>
  </si>
  <si>
    <t>mendd002</t>
  </si>
  <si>
    <t>burgj001</t>
  </si>
  <si>
    <t>martr006</t>
  </si>
  <si>
    <t>hilld002</t>
  </si>
  <si>
    <t>greig001</t>
  </si>
  <si>
    <t>reyev001</t>
  </si>
  <si>
    <t>shorz001</t>
  </si>
  <si>
    <t>nuner001</t>
  </si>
  <si>
    <t>robsj001</t>
  </si>
  <si>
    <t>jonej007</t>
  </si>
  <si>
    <t>ohear001</t>
  </si>
  <si>
    <t>mondr003</t>
  </si>
  <si>
    <t>lambj001</t>
  </si>
  <si>
    <t>dysoj001</t>
  </si>
  <si>
    <t>ibana001</t>
  </si>
  <si>
    <t>ciufn001</t>
  </si>
  <si>
    <t>shawt001</t>
  </si>
  <si>
    <t>nevit001</t>
  </si>
  <si>
    <t>odomj001</t>
  </si>
  <si>
    <t>palaj001</t>
  </si>
  <si>
    <t>lewik001</t>
  </si>
  <si>
    <t>ramow001</t>
  </si>
  <si>
    <t>jonej006</t>
  </si>
  <si>
    <t>arauj001</t>
  </si>
  <si>
    <t>devej001</t>
  </si>
  <si>
    <t>rivee001</t>
  </si>
  <si>
    <t>rives002</t>
  </si>
  <si>
    <t>branr002</t>
  </si>
  <si>
    <t>alleg002</t>
  </si>
  <si>
    <t>flore001</t>
  </si>
  <si>
    <t>duraj001</t>
  </si>
  <si>
    <t>gittc001</t>
  </si>
  <si>
    <t>rookb001</t>
  </si>
  <si>
    <t>merco003</t>
  </si>
  <si>
    <t>lopej005</t>
  </si>
  <si>
    <t>gimea001</t>
  </si>
  <si>
    <t>johnd006</t>
  </si>
  <si>
    <t>lavar001</t>
  </si>
  <si>
    <t>mottt001</t>
  </si>
  <si>
    <t>lowej002</t>
  </si>
  <si>
    <t>davij006</t>
  </si>
  <si>
    <t>willn001</t>
  </si>
  <si>
    <t>isbek001</t>
  </si>
  <si>
    <t>gallc001</t>
  </si>
  <si>
    <t>perer003</t>
  </si>
  <si>
    <t>badeh001</t>
  </si>
  <si>
    <t>morom001</t>
  </si>
  <si>
    <t>gonzl005</t>
  </si>
  <si>
    <t>cleme002</t>
  </si>
  <si>
    <t>jimee001</t>
  </si>
  <si>
    <t>hermm001</t>
  </si>
  <si>
    <t>schwf001</t>
  </si>
  <si>
    <t>romia002</t>
  </si>
  <si>
    <t>romia001</t>
  </si>
  <si>
    <t>alcas002</t>
  </si>
  <si>
    <t>rivaa001</t>
  </si>
  <si>
    <t>morac001</t>
  </si>
  <si>
    <t>parkh001</t>
  </si>
  <si>
    <t>alfoa002</t>
  </si>
  <si>
    <t>gonzr003</t>
  </si>
  <si>
    <t>schrm001</t>
  </si>
  <si>
    <t>friet001</t>
  </si>
  <si>
    <t>deshd002</t>
  </si>
  <si>
    <t>garcj007</t>
  </si>
  <si>
    <t>garnd001</t>
  </si>
  <si>
    <t>kuhlc001</t>
  </si>
  <si>
    <t>fowld002</t>
  </si>
  <si>
    <t>arrij001</t>
  </si>
  <si>
    <t>suteb001</t>
  </si>
  <si>
    <t>wrigk001</t>
  </si>
  <si>
    <t>kazms002</t>
  </si>
  <si>
    <t>luccj001</t>
  </si>
  <si>
    <t>lindj004</t>
  </si>
  <si>
    <t>rasmd002</t>
  </si>
  <si>
    <t>ryank002</t>
  </si>
  <si>
    <t>ray-c002</t>
  </si>
  <si>
    <t>santd003</t>
  </si>
  <si>
    <t>riose001</t>
  </si>
  <si>
    <t>thomk002</t>
  </si>
  <si>
    <t>frazt001</t>
  </si>
  <si>
    <t>cahit001</t>
  </si>
  <si>
    <t>owenh003</t>
  </si>
  <si>
    <t>martn003</t>
  </si>
  <si>
    <t>stokt001</t>
  </si>
  <si>
    <t>higgp001</t>
  </si>
  <si>
    <t>steej002</t>
  </si>
  <si>
    <t>paytm001</t>
  </si>
  <si>
    <t>castl003</t>
  </si>
  <si>
    <t>heins001</t>
  </si>
  <si>
    <t>stewk001</t>
  </si>
  <si>
    <t>weatr001</t>
  </si>
  <si>
    <t>marct001</t>
  </si>
  <si>
    <t>lamed001</t>
  </si>
  <si>
    <t>diazm004</t>
  </si>
  <si>
    <t>winkd001</t>
  </si>
  <si>
    <t>pop-z001</t>
  </si>
  <si>
    <t>lobaj001</t>
  </si>
  <si>
    <t>civaa001</t>
  </si>
  <si>
    <t>morge001</t>
  </si>
  <si>
    <t>nootl001</t>
  </si>
  <si>
    <t>santt001</t>
  </si>
  <si>
    <t>freem002</t>
  </si>
  <si>
    <t>deicg001</t>
  </si>
  <si>
    <t>lynnl001</t>
  </si>
  <si>
    <t>rodoc001</t>
  </si>
  <si>
    <t>ceasd001</t>
  </si>
  <si>
    <t>ruckm001</t>
  </si>
  <si>
    <t>strih001</t>
  </si>
  <si>
    <t>topaj001</t>
  </si>
  <si>
    <t>jewej001</t>
  </si>
  <si>
    <t>norrd002</t>
  </si>
  <si>
    <t>kellb003</t>
  </si>
  <si>
    <t>brenj001</t>
  </si>
  <si>
    <t>bubik001</t>
  </si>
  <si>
    <t>hernc006</t>
  </si>
  <si>
    <t>marqg001</t>
  </si>
  <si>
    <t>freek001</t>
  </si>
  <si>
    <t>sampa001</t>
  </si>
  <si>
    <t>braus002</t>
  </si>
  <si>
    <t>littz001</t>
  </si>
  <si>
    <t>barac001</t>
  </si>
  <si>
    <t>effrs001</t>
  </si>
  <si>
    <t>buxtb001</t>
  </si>
  <si>
    <t>thomt002</t>
  </si>
  <si>
    <t>jax-g001</t>
  </si>
  <si>
    <t>could001</t>
  </si>
  <si>
    <t>ryanj002</t>
  </si>
  <si>
    <t>happj001</t>
  </si>
  <si>
    <t>hudsd002</t>
  </si>
  <si>
    <t>flahj002</t>
  </si>
  <si>
    <t>deana001</t>
  </si>
  <si>
    <t>perec004</t>
  </si>
  <si>
    <t>romas001</t>
  </si>
  <si>
    <t>allel002</t>
  </si>
  <si>
    <t>fulmc001</t>
  </si>
  <si>
    <t>mcket001</t>
  </si>
  <si>
    <t>biebs001</t>
  </si>
  <si>
    <t>ruizj001</t>
  </si>
  <si>
    <t>keucd001</t>
  </si>
  <si>
    <t>hendr003</t>
  </si>
  <si>
    <t>alvaj003</t>
  </si>
  <si>
    <t>housa001</t>
  </si>
  <si>
    <t>brada001</t>
  </si>
  <si>
    <t>lauee001</t>
  </si>
  <si>
    <t>howas003</t>
  </si>
  <si>
    <t>faltb001</t>
  </si>
  <si>
    <t>lopea005</t>
  </si>
  <si>
    <t>gusht001</t>
  </si>
  <si>
    <t>lorem002</t>
  </si>
  <si>
    <t>eickj001</t>
  </si>
  <si>
    <t>alanr001</t>
  </si>
  <si>
    <t>banda001</t>
  </si>
  <si>
    <t>stocr001</t>
  </si>
  <si>
    <t>nogos001</t>
  </si>
  <si>
    <t>maedk001</t>
  </si>
  <si>
    <t>barnc002</t>
  </si>
  <si>
    <t>castr006</t>
  </si>
  <si>
    <t>rodrm001</t>
  </si>
  <si>
    <t>mikom001</t>
  </si>
  <si>
    <t>poncd001</t>
  </si>
  <si>
    <t>sanca009</t>
  </si>
  <si>
    <t>alext001</t>
  </si>
  <si>
    <t>boydm001</t>
  </si>
  <si>
    <t>mizec001</t>
  </si>
  <si>
    <t>urenj001</t>
  </si>
  <si>
    <t>peted001</t>
  </si>
  <si>
    <t>rogej003</t>
  </si>
  <si>
    <t>nolis001</t>
  </si>
  <si>
    <t>sanmr001</t>
  </si>
  <si>
    <t>davit004</t>
  </si>
  <si>
    <t>poncc002</t>
  </si>
  <si>
    <t>mills001</t>
  </si>
  <si>
    <t>mcbrr001</t>
  </si>
  <si>
    <t>thomd004</t>
  </si>
  <si>
    <t>doror001</t>
  </si>
  <si>
    <t>munoy001</t>
  </si>
  <si>
    <t>garcl007</t>
  </si>
  <si>
    <t>urquj001</t>
  </si>
  <si>
    <t>monim001</t>
  </si>
  <si>
    <t>andec001</t>
  </si>
  <si>
    <t>sanca006</t>
  </si>
  <si>
    <t>chacj001</t>
  </si>
  <si>
    <t>wislm001</t>
  </si>
  <si>
    <t>castr005</t>
  </si>
  <si>
    <t>bartj003</t>
  </si>
  <si>
    <t>andrj001</t>
  </si>
  <si>
    <t>kivlp001</t>
  </si>
  <si>
    <t>almoy001</t>
  </si>
  <si>
    <t>dunnd001</t>
  </si>
  <si>
    <t>foltm001</t>
  </si>
  <si>
    <t>montf001</t>
  </si>
  <si>
    <t>bolts001</t>
  </si>
  <si>
    <t>irvic001</t>
  </si>
  <si>
    <t>kaprj001</t>
  </si>
  <si>
    <t>reyea004</t>
  </si>
  <si>
    <t>waddb001</t>
  </si>
  <si>
    <t>pricd001</t>
  </si>
  <si>
    <t>mccad002</t>
  </si>
  <si>
    <t>hessd001</t>
  </si>
  <si>
    <t>campp001</t>
  </si>
  <si>
    <t>ralel001</t>
  </si>
  <si>
    <t>vilar001</t>
  </si>
  <si>
    <t>lambp001</t>
  </si>
  <si>
    <t>hickj001</t>
  </si>
  <si>
    <t>smitk003</t>
  </si>
  <si>
    <t>dawsr001</t>
  </si>
  <si>
    <t>terrc001</t>
  </si>
  <si>
    <t>kozmp001</t>
  </si>
  <si>
    <t>guzmr001</t>
  </si>
  <si>
    <t>lucrj001</t>
  </si>
  <si>
    <t>pereh001</t>
  </si>
  <si>
    <t>nelsj004</t>
  </si>
  <si>
    <t>may-d003</t>
  </si>
  <si>
    <t>campl002</t>
  </si>
  <si>
    <t>simsl001</t>
  </si>
  <si>
    <t>kikuy001</t>
  </si>
  <si>
    <t>dunnj002</t>
  </si>
  <si>
    <t>garrb001</t>
  </si>
  <si>
    <t>vesia001</t>
  </si>
  <si>
    <t>jansk001</t>
  </si>
  <si>
    <t>kellj001</t>
  </si>
  <si>
    <t>jonen001</t>
  </si>
  <si>
    <t>webbt001</t>
  </si>
  <si>
    <t>elles001</t>
  </si>
  <si>
    <t>fernj006</t>
  </si>
  <si>
    <t>allak001</t>
  </si>
  <si>
    <t>sborj002</t>
  </si>
  <si>
    <t>kingj002</t>
  </si>
  <si>
    <t>nanct001</t>
  </si>
  <si>
    <t>reksz001</t>
  </si>
  <si>
    <t>sherj001</t>
  </si>
  <si>
    <t>mccul002</t>
  </si>
  <si>
    <t>odorj001</t>
  </si>
  <si>
    <t>barrj003</t>
  </si>
  <si>
    <t>detmr001</t>
  </si>
  <si>
    <t>jacka003</t>
  </si>
  <si>
    <t>phile001</t>
  </si>
  <si>
    <t>gratb002</t>
  </si>
  <si>
    <t>crisn001</t>
  </si>
  <si>
    <t>beers001</t>
  </si>
  <si>
    <t>knebc001</t>
  </si>
  <si>
    <t>rea-c001</t>
  </si>
  <si>
    <t>gustj001</t>
  </si>
  <si>
    <t>glast001</t>
  </si>
  <si>
    <t>yarbr001</t>
  </si>
  <si>
    <t>castd003</t>
  </si>
  <si>
    <t>harvm001</t>
  </si>
  <si>
    <t>zimmb002</t>
  </si>
  <si>
    <t>maill001</t>
  </si>
  <si>
    <t>tovaw001</t>
  </si>
  <si>
    <t>cimba001</t>
  </si>
  <si>
    <t>yamaj001</t>
  </si>
  <si>
    <t>marcr001</t>
  </si>
  <si>
    <t>martl005</t>
  </si>
  <si>
    <t>okers001</t>
  </si>
  <si>
    <t>moris001</t>
  </si>
  <si>
    <t>marrd001</t>
  </si>
  <si>
    <t>tailj001</t>
  </si>
  <si>
    <t>millb003</t>
  </si>
  <si>
    <t>germd001</t>
  </si>
  <si>
    <t>brotr001</t>
  </si>
  <si>
    <t>henrp001</t>
  </si>
  <si>
    <t>fortn001</t>
  </si>
  <si>
    <t>crouh001</t>
  </si>
  <si>
    <t>berrj001</t>
  </si>
  <si>
    <t>pinem001</t>
  </si>
  <si>
    <t>godlz001</t>
  </si>
  <si>
    <t>felim002</t>
  </si>
  <si>
    <t>betta001</t>
  </si>
  <si>
    <t>zimmj003</t>
  </si>
  <si>
    <t>garcr007</t>
  </si>
  <si>
    <t>lopet001</t>
  </si>
  <si>
    <t>sancm001</t>
  </si>
  <si>
    <t>richt001</t>
  </si>
  <si>
    <t>minom001</t>
  </si>
  <si>
    <t>gioll001</t>
  </si>
  <si>
    <t>kopem001</t>
  </si>
  <si>
    <t>bednd001</t>
  </si>
  <si>
    <t>ashba003</t>
  </si>
  <si>
    <t>brucj001</t>
  </si>
  <si>
    <t>watst001</t>
  </si>
  <si>
    <t>ambut001</t>
  </si>
  <si>
    <t>piven001</t>
  </si>
  <si>
    <t>meanj001</t>
  </si>
  <si>
    <t>lugos001</t>
  </si>
  <si>
    <t>oswac001</t>
  </si>
  <si>
    <t>tropn001</t>
  </si>
  <si>
    <t>matzs001</t>
  </si>
  <si>
    <t>diazy002</t>
  </si>
  <si>
    <t>sante002</t>
  </si>
  <si>
    <t>reedj005</t>
  </si>
  <si>
    <t>tromc001</t>
  </si>
  <si>
    <t>klubc001</t>
  </si>
  <si>
    <t>schmc002</t>
  </si>
  <si>
    <t>madel001</t>
  </si>
  <si>
    <t>allea001</t>
  </si>
  <si>
    <t>campe001</t>
  </si>
  <si>
    <t>hurss001</t>
  </si>
  <si>
    <t>perem004</t>
  </si>
  <si>
    <t>eovan001</t>
  </si>
  <si>
    <t>cortn001</t>
  </si>
  <si>
    <t>pagae001</t>
  </si>
  <si>
    <t>harrm003</t>
  </si>
  <si>
    <t>clays001</t>
  </si>
  <si>
    <t>hammj003</t>
  </si>
  <si>
    <t>bruij001</t>
  </si>
  <si>
    <t>bonij002</t>
  </si>
  <si>
    <t>feltr001</t>
  </si>
  <si>
    <t>rossr003</t>
  </si>
  <si>
    <t>media001</t>
  </si>
  <si>
    <t>eshet001</t>
  </si>
  <si>
    <t>akink001</t>
  </si>
  <si>
    <t>overc001</t>
  </si>
  <si>
    <t>yajum001</t>
  </si>
  <si>
    <t>junij001</t>
  </si>
  <si>
    <t>popps001</t>
  </si>
  <si>
    <t>zubet001</t>
  </si>
  <si>
    <t>holmc001</t>
  </si>
  <si>
    <t>unded001</t>
  </si>
  <si>
    <t>strac001</t>
  </si>
  <si>
    <t>mejij002</t>
  </si>
  <si>
    <t>quanc001</t>
  </si>
  <si>
    <t>hents001</t>
  </si>
  <si>
    <t>smitd009</t>
  </si>
  <si>
    <t>mearn001</t>
  </si>
  <si>
    <t>skubt001</t>
  </si>
  <si>
    <t>peraw001</t>
  </si>
  <si>
    <t>mannm001</t>
  </si>
  <si>
    <t>hutcd001</t>
  </si>
  <si>
    <t>giamt001</t>
  </si>
  <si>
    <t>andet003</t>
  </si>
  <si>
    <t>caste001</t>
  </si>
  <si>
    <t>cruzo001</t>
  </si>
  <si>
    <t>morea001</t>
  </si>
  <si>
    <t>casti001</t>
  </si>
  <si>
    <t>shefj001</t>
  </si>
  <si>
    <t>camad001</t>
  </si>
  <si>
    <t>mcgok002</t>
  </si>
  <si>
    <t>manas001</t>
  </si>
  <si>
    <t>melam001</t>
  </si>
  <si>
    <t>valdf001</t>
  </si>
  <si>
    <t>naugp001</t>
  </si>
  <si>
    <t>guerj003</t>
  </si>
  <si>
    <t>kazms001</t>
  </si>
  <si>
    <t>degoa001</t>
  </si>
  <si>
    <t>selms001</t>
  </si>
  <si>
    <t>harpr001</t>
  </si>
  <si>
    <t>rodrj005</t>
  </si>
  <si>
    <t>reetj001</t>
  </si>
  <si>
    <t>brebj001</t>
  </si>
  <si>
    <t>greiz001</t>
  </si>
  <si>
    <t>chatt001</t>
  </si>
  <si>
    <t>garcj006</t>
  </si>
  <si>
    <t>quinj001</t>
  </si>
  <si>
    <t>avilp001</t>
  </si>
  <si>
    <t>hembh001</t>
  </si>
  <si>
    <t>kimbc001</t>
  </si>
  <si>
    <t>matop002</t>
  </si>
  <si>
    <t>jackj001</t>
  </si>
  <si>
    <t>oberb002</t>
  </si>
  <si>
    <t>abboc001</t>
  </si>
  <si>
    <t>ladet001</t>
  </si>
  <si>
    <t>paynt001</t>
  </si>
  <si>
    <t>tejea001</t>
  </si>
  <si>
    <t>wilsc005</t>
  </si>
  <si>
    <t>lopej004</t>
  </si>
  <si>
    <t>arteh001</t>
  </si>
  <si>
    <t>nerih001</t>
  </si>
  <si>
    <t>guerj002</t>
  </si>
  <si>
    <t>manoa001</t>
  </si>
  <si>
    <t>lopeo001</t>
  </si>
  <si>
    <t>coons001</t>
  </si>
  <si>
    <t>houct001</t>
  </si>
  <si>
    <t>davia003</t>
  </si>
  <si>
    <t>adonj001</t>
  </si>
  <si>
    <t>salec001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</si>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</sst>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00"/>
    <numFmt numFmtId="165" formatCode="0.000"/>
    <numFmt numFmtId="166" formatCode="0.0"/>
    <numFmt numFmtId="167" formatCode="0.0000"/>
  </numFmts>
  <fonts count="2" x14ac:knownFonts="1">
    <font>
      <sz val="11"/>
      <color theme="1"/>
      <name val="Calibri"/>
      <family val="2"/>
      <scheme val="minor"/>
    </font>
    <font>
      <sz val="7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2" fontId="0" fillId="0" borderId="0" xfId="0" applyNumberFormat="1"/>
    <xf numFmtId="0" fontId="1" fillId="0" borderId="0" xfId="0" applyFont="1"/>
    <xf numFmtId="164" fontId="0" fillId="0" borderId="1" xfId="0" applyNumberFormat="1" applyBorder="1"/>
    <xf numFmtId="164" fontId="0" fillId="0" borderId="2" xfId="0" applyNumberFormat="1" applyBorder="1"/>
    <xf numFmtId="164" fontId="0" fillId="0" borderId="3" xfId="0" applyNumberFormat="1" applyBorder="1"/>
    <xf numFmtId="164" fontId="0" fillId="0" borderId="4" xfId="0" applyNumberFormat="1" applyBorder="1"/>
    <xf numFmtId="164" fontId="0" fillId="0" borderId="0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0" fontId="0" fillId="0" borderId="0" xfId="0" applyAlignment="1">
      <alignment textRotation="90"/>
    </xf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5" fontId="0" fillId="0" borderId="0" xfId="0" applyNumberForma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7"/>
  <sheetViews>
    <sheetView topLeftCell="H1" zoomScale="60" zoomScaleNormal="60" workbookViewId="0">
      <selection activeCell="V25" sqref="V25"/>
    </sheetView>
  </sheetViews>
  <sheetFormatPr defaultRowHeight="15" x14ac:dyDescent="0.25"/>
  <cols>
    <col min="1" max="1" width="2.5703125" customWidth="1"/>
    <col min="2" max="2" width="7.42578125" bestFit="1" customWidth="1"/>
    <col min="3" max="11" width="12.42578125" bestFit="1" customWidth="1"/>
    <col min="12" max="35" width="13.42578125" bestFit="1" customWidth="1"/>
  </cols>
  <sheetData>
    <row r="1" spans="1:35" x14ac:dyDescent="0.25">
      <c r="D1">
        <v>0</v>
      </c>
      <c r="E1">
        <v>1</v>
      </c>
      <c r="F1">
        <v>1</v>
      </c>
      <c r="G1">
        <v>2</v>
      </c>
      <c r="H1">
        <v>1</v>
      </c>
      <c r="I1">
        <v>2</v>
      </c>
      <c r="J1">
        <v>2</v>
      </c>
      <c r="K1">
        <v>3</v>
      </c>
      <c r="L1">
        <f t="shared" ref="L1:AI1" si="0">D1+1</f>
        <v>1</v>
      </c>
      <c r="M1">
        <f t="shared" si="0"/>
        <v>2</v>
      </c>
      <c r="N1">
        <f t="shared" si="0"/>
        <v>2</v>
      </c>
      <c r="O1">
        <f t="shared" si="0"/>
        <v>3</v>
      </c>
      <c r="P1">
        <f t="shared" si="0"/>
        <v>2</v>
      </c>
      <c r="Q1">
        <f t="shared" si="0"/>
        <v>3</v>
      </c>
      <c r="R1">
        <f t="shared" si="0"/>
        <v>3</v>
      </c>
      <c r="S1">
        <f t="shared" si="0"/>
        <v>4</v>
      </c>
      <c r="T1">
        <f t="shared" si="0"/>
        <v>2</v>
      </c>
      <c r="U1">
        <f t="shared" si="0"/>
        <v>3</v>
      </c>
      <c r="V1">
        <f t="shared" si="0"/>
        <v>3</v>
      </c>
      <c r="W1">
        <f t="shared" si="0"/>
        <v>4</v>
      </c>
      <c r="X1">
        <f t="shared" si="0"/>
        <v>3</v>
      </c>
      <c r="Y1">
        <f t="shared" si="0"/>
        <v>4</v>
      </c>
      <c r="Z1">
        <f t="shared" si="0"/>
        <v>4</v>
      </c>
      <c r="AA1">
        <f t="shared" si="0"/>
        <v>5</v>
      </c>
      <c r="AB1">
        <f t="shared" si="0"/>
        <v>3</v>
      </c>
      <c r="AC1">
        <f t="shared" si="0"/>
        <v>4</v>
      </c>
      <c r="AD1">
        <f t="shared" si="0"/>
        <v>4</v>
      </c>
      <c r="AE1">
        <f t="shared" si="0"/>
        <v>5</v>
      </c>
      <c r="AF1">
        <f t="shared" si="0"/>
        <v>4</v>
      </c>
      <c r="AG1">
        <f t="shared" si="0"/>
        <v>5</v>
      </c>
      <c r="AH1">
        <f t="shared" si="0"/>
        <v>5</v>
      </c>
      <c r="AI1">
        <f t="shared" si="0"/>
        <v>6</v>
      </c>
    </row>
    <row r="2" spans="1:35" x14ac:dyDescent="0.25">
      <c r="D2" t="str">
        <f>DEC2BIN(COLUMN()-4,5)</f>
        <v>00000</v>
      </c>
      <c r="E2" t="str">
        <f t="shared" ref="E2:AI2" si="1">DEC2BIN(COLUMN()-4,5)</f>
        <v>00001</v>
      </c>
      <c r="F2" t="str">
        <f t="shared" si="1"/>
        <v>00010</v>
      </c>
      <c r="G2" t="str">
        <f t="shared" si="1"/>
        <v>00011</v>
      </c>
      <c r="H2" t="str">
        <f t="shared" si="1"/>
        <v>00100</v>
      </c>
      <c r="I2" t="str">
        <f t="shared" si="1"/>
        <v>00101</v>
      </c>
      <c r="J2" t="str">
        <f t="shared" si="1"/>
        <v>00110</v>
      </c>
      <c r="K2" t="str">
        <f t="shared" si="1"/>
        <v>00111</v>
      </c>
      <c r="L2" t="str">
        <f t="shared" si="1"/>
        <v>01000</v>
      </c>
      <c r="M2" t="str">
        <f t="shared" si="1"/>
        <v>01001</v>
      </c>
      <c r="N2" t="str">
        <f t="shared" si="1"/>
        <v>01010</v>
      </c>
      <c r="O2" t="str">
        <f t="shared" si="1"/>
        <v>01011</v>
      </c>
      <c r="P2" t="str">
        <f t="shared" si="1"/>
        <v>01100</v>
      </c>
      <c r="Q2" t="str">
        <f t="shared" si="1"/>
        <v>01101</v>
      </c>
      <c r="R2" t="str">
        <f t="shared" si="1"/>
        <v>01110</v>
      </c>
      <c r="S2" t="str">
        <f t="shared" si="1"/>
        <v>01111</v>
      </c>
      <c r="T2" t="str">
        <f t="shared" si="1"/>
        <v>10000</v>
      </c>
      <c r="U2" t="str">
        <f t="shared" si="1"/>
        <v>10001</v>
      </c>
      <c r="V2" t="str">
        <f t="shared" si="1"/>
        <v>10010</v>
      </c>
      <c r="W2" t="str">
        <f t="shared" si="1"/>
        <v>10011</v>
      </c>
      <c r="X2" t="str">
        <f t="shared" si="1"/>
        <v>10100</v>
      </c>
      <c r="Y2" t="str">
        <f t="shared" si="1"/>
        <v>10101</v>
      </c>
      <c r="Z2" t="str">
        <f t="shared" si="1"/>
        <v>10110</v>
      </c>
      <c r="AA2" t="str">
        <f t="shared" si="1"/>
        <v>10111</v>
      </c>
      <c r="AB2" t="str">
        <f t="shared" si="1"/>
        <v>11000</v>
      </c>
      <c r="AC2" t="str">
        <f t="shared" si="1"/>
        <v>11001</v>
      </c>
      <c r="AD2" t="str">
        <f t="shared" si="1"/>
        <v>11010</v>
      </c>
      <c r="AE2" t="str">
        <f t="shared" si="1"/>
        <v>11011</v>
      </c>
      <c r="AF2" t="str">
        <f t="shared" si="1"/>
        <v>11100</v>
      </c>
      <c r="AG2" t="str">
        <f t="shared" si="1"/>
        <v>11101</v>
      </c>
      <c r="AH2" t="str">
        <f t="shared" si="1"/>
        <v>11110</v>
      </c>
      <c r="AI2" t="str">
        <f t="shared" si="1"/>
        <v>11111</v>
      </c>
    </row>
    <row r="3" spans="1:35" x14ac:dyDescent="0.25">
      <c r="D3">
        <v>0.49896990000000002</v>
      </c>
      <c r="E3">
        <v>0.89142650000000001</v>
      </c>
      <c r="F3">
        <v>1.1243941</v>
      </c>
      <c r="G3">
        <v>1.4718971999999999</v>
      </c>
      <c r="H3">
        <v>1.3733799</v>
      </c>
      <c r="I3">
        <v>1.7690284000000001</v>
      </c>
      <c r="J3">
        <v>1.9537405999999999</v>
      </c>
      <c r="K3">
        <v>2.3544027999999999</v>
      </c>
      <c r="L3">
        <v>0.26748699999999997</v>
      </c>
      <c r="M3">
        <v>0.52882479999999998</v>
      </c>
      <c r="N3">
        <v>0.68803689999999995</v>
      </c>
      <c r="O3">
        <v>0.9330619</v>
      </c>
      <c r="P3">
        <v>0.97959770000000002</v>
      </c>
      <c r="Q3">
        <v>1.2073179999999999</v>
      </c>
      <c r="R3">
        <v>1.3621993999999999</v>
      </c>
      <c r="S3">
        <v>1.5581533999999999</v>
      </c>
      <c r="T3">
        <v>0.10041890000000001</v>
      </c>
      <c r="U3">
        <v>0.2251418</v>
      </c>
      <c r="V3">
        <v>0.32185599999999998</v>
      </c>
      <c r="W3">
        <v>0.4462911</v>
      </c>
      <c r="X3">
        <v>0.3628015</v>
      </c>
      <c r="Y3">
        <v>0.4988532</v>
      </c>
      <c r="Z3">
        <v>0.56815649999999995</v>
      </c>
      <c r="AA3">
        <v>0.77292309999999997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>
        <v>0</v>
      </c>
      <c r="B4" t="str">
        <f>DEC2BIN(ROW()-4,5)</f>
        <v>00000</v>
      </c>
      <c r="C4">
        <v>0.49896990000000002</v>
      </c>
      <c r="D4" s="3">
        <f t="shared" ref="D4:F5" si="2">D$3+$A4-$C4-D$1+1</f>
        <v>1</v>
      </c>
      <c r="E4" s="4">
        <f t="shared" si="2"/>
        <v>0.39245660000000004</v>
      </c>
      <c r="F4" s="4">
        <f t="shared" si="2"/>
        <v>0.62542419999999987</v>
      </c>
      <c r="G4" s="4"/>
      <c r="H4" s="4">
        <f>H$3+$A4-$C4-H$1+1</f>
        <v>0.87440999999999991</v>
      </c>
      <c r="I4" s="4"/>
      <c r="J4" s="4"/>
      <c r="K4" s="5"/>
      <c r="L4" s="3">
        <f>L$3+$A4-$C4-L$1+1</f>
        <v>-0.23148290000000005</v>
      </c>
      <c r="M4" s="4"/>
      <c r="N4" s="4"/>
      <c r="O4" s="4"/>
      <c r="P4" s="4"/>
      <c r="Q4" s="4"/>
      <c r="R4" s="4"/>
      <c r="S4" s="5"/>
      <c r="T4" s="3"/>
      <c r="U4" s="4"/>
      <c r="V4" s="4"/>
      <c r="W4" s="4"/>
      <c r="X4" s="4"/>
      <c r="Y4" s="4"/>
      <c r="Z4" s="4"/>
      <c r="AA4" s="5"/>
      <c r="AB4" s="3"/>
      <c r="AC4" s="4"/>
      <c r="AD4" s="4"/>
      <c r="AE4" s="4"/>
      <c r="AF4" s="4"/>
      <c r="AG4" s="4"/>
      <c r="AH4" s="4"/>
      <c r="AI4" s="5"/>
    </row>
    <row r="5" spans="1:35" x14ac:dyDescent="0.25">
      <c r="A5">
        <v>1</v>
      </c>
      <c r="B5" t="str">
        <f t="shared" ref="B5:B27" si="3">DEC2BIN(ROW()-4,5)</f>
        <v>00001</v>
      </c>
      <c r="C5">
        <v>0.89142650000000001</v>
      </c>
      <c r="D5" s="6">
        <f t="shared" si="2"/>
        <v>1.6075434</v>
      </c>
      <c r="E5" s="7">
        <f t="shared" si="2"/>
        <v>1</v>
      </c>
      <c r="F5" s="7">
        <f t="shared" si="2"/>
        <v>1.2329675999999998</v>
      </c>
      <c r="G5" s="7">
        <f>G$3+$A5-$C5-G$1+1</f>
        <v>0.58047069999999978</v>
      </c>
      <c r="H5" s="7">
        <f>H$3+$A5-$C5-H$1+1</f>
        <v>1.4819533999999996</v>
      </c>
      <c r="I5" s="7">
        <f>I$3+$A5-$C5-I$1+1</f>
        <v>0.87760189999999971</v>
      </c>
      <c r="J5" s="7">
        <f>J$3+$A5-$C5-J$1+1</f>
        <v>1.0623140999999996</v>
      </c>
      <c r="K5" s="8"/>
      <c r="L5" s="6">
        <f>L$3+$A5-$C5-L$1+1</f>
        <v>0.37606050000000002</v>
      </c>
      <c r="M5" s="7">
        <f>M$3+$A5-$C5-M$1+1</f>
        <v>-0.36260169999999992</v>
      </c>
      <c r="N5" s="7">
        <f>N$3+$A5-$C5-N$1+1</f>
        <v>-0.20338959999999995</v>
      </c>
      <c r="O5" s="7"/>
      <c r="P5" s="7">
        <f>P$3+$A5-$C5-P$1+1</f>
        <v>8.8171200000000116E-2</v>
      </c>
      <c r="Q5" s="7"/>
      <c r="R5" s="7"/>
      <c r="S5" s="8"/>
      <c r="T5" s="6">
        <f>T$3+$A5-$C5-T$1+1</f>
        <v>-0.79100759999999992</v>
      </c>
      <c r="U5" s="7"/>
      <c r="V5" s="7"/>
      <c r="W5" s="7"/>
      <c r="X5" s="7"/>
      <c r="Y5" s="7"/>
      <c r="Z5" s="7"/>
      <c r="AA5" s="8"/>
      <c r="AB5" s="6"/>
      <c r="AC5" s="7"/>
      <c r="AD5" s="7"/>
      <c r="AE5" s="7"/>
      <c r="AF5" s="7"/>
      <c r="AG5" s="7"/>
      <c r="AH5" s="7"/>
      <c r="AI5" s="8"/>
    </row>
    <row r="6" spans="1:35" x14ac:dyDescent="0.25">
      <c r="A6">
        <v>1</v>
      </c>
      <c r="B6" t="str">
        <f t="shared" si="3"/>
        <v>00010</v>
      </c>
      <c r="C6">
        <v>1.1243941</v>
      </c>
      <c r="D6" s="6">
        <f t="shared" ref="D6:D11" si="4">D$3+$A6-$C6-D$1+1</f>
        <v>1.3745758000000001</v>
      </c>
      <c r="E6" s="7">
        <f t="shared" ref="E6:P6" si="5">E$3+$A6-$C6-E$1+1</f>
        <v>0.76703240000000017</v>
      </c>
      <c r="F6" s="7">
        <f t="shared" si="5"/>
        <v>1</v>
      </c>
      <c r="G6" s="7">
        <f t="shared" si="5"/>
        <v>0.34750309999999995</v>
      </c>
      <c r="H6" s="7">
        <f t="shared" si="5"/>
        <v>1.2489857999999998</v>
      </c>
      <c r="I6" s="7">
        <f t="shared" si="5"/>
        <v>0.64463429999999988</v>
      </c>
      <c r="J6" s="7">
        <f t="shared" si="5"/>
        <v>0.82934649999999976</v>
      </c>
      <c r="K6" s="8"/>
      <c r="L6" s="6">
        <f t="shared" si="5"/>
        <v>0.14309290000000008</v>
      </c>
      <c r="M6" s="7">
        <f t="shared" si="5"/>
        <v>-0.59556929999999997</v>
      </c>
      <c r="N6" s="7">
        <f t="shared" si="5"/>
        <v>-0.4363572</v>
      </c>
      <c r="O6" s="7"/>
      <c r="P6" s="7">
        <f t="shared" si="5"/>
        <v>-0.14479639999999994</v>
      </c>
      <c r="Q6" s="7"/>
      <c r="R6" s="7"/>
      <c r="S6" s="8"/>
      <c r="T6" s="6">
        <f t="shared" ref="T6" si="6">T$3+$A6-$C6-T$1+1</f>
        <v>-1.0239751999999998</v>
      </c>
      <c r="U6" s="7"/>
      <c r="V6" s="7"/>
      <c r="W6" s="7"/>
      <c r="X6" s="7"/>
      <c r="Y6" s="7"/>
      <c r="Z6" s="7"/>
      <c r="AA6" s="8"/>
      <c r="AB6" s="6"/>
      <c r="AC6" s="7"/>
      <c r="AD6" s="7"/>
      <c r="AE6" s="7"/>
      <c r="AF6" s="7"/>
      <c r="AG6" s="7"/>
      <c r="AH6" s="7"/>
      <c r="AI6" s="8"/>
    </row>
    <row r="7" spans="1:35" x14ac:dyDescent="0.25">
      <c r="A7">
        <v>2</v>
      </c>
      <c r="B7" t="str">
        <f t="shared" si="3"/>
        <v>00011</v>
      </c>
      <c r="C7">
        <v>1.4718971999999999</v>
      </c>
      <c r="D7" s="6">
        <f t="shared" si="4"/>
        <v>2.0270727000000002</v>
      </c>
      <c r="E7" s="7">
        <f t="shared" ref="E7:R7" si="7">E$3+$A7-$C7-E$1+1</f>
        <v>1.4195293000000002</v>
      </c>
      <c r="F7" s="7">
        <f t="shared" si="7"/>
        <v>1.6524969</v>
      </c>
      <c r="G7" s="7">
        <f t="shared" si="7"/>
        <v>1</v>
      </c>
      <c r="H7" s="7">
        <f t="shared" si="7"/>
        <v>1.9014826999999999</v>
      </c>
      <c r="I7" s="7">
        <f t="shared" si="7"/>
        <v>1.2971311999999999</v>
      </c>
      <c r="J7" s="7">
        <f t="shared" si="7"/>
        <v>1.4818433999999998</v>
      </c>
      <c r="K7" s="8">
        <f t="shared" si="7"/>
        <v>0.8825056</v>
      </c>
      <c r="L7" s="6">
        <f t="shared" si="7"/>
        <v>0.79558980000000012</v>
      </c>
      <c r="M7" s="7">
        <f t="shared" si="7"/>
        <v>5.6927599999999856E-2</v>
      </c>
      <c r="N7" s="7">
        <f t="shared" si="7"/>
        <v>0.21613970000000027</v>
      </c>
      <c r="O7" s="7">
        <f t="shared" si="7"/>
        <v>-0.53883529999999968</v>
      </c>
      <c r="P7" s="7">
        <f t="shared" si="7"/>
        <v>0.50770050000000033</v>
      </c>
      <c r="Q7" s="7">
        <f t="shared" si="7"/>
        <v>-0.26457920000000001</v>
      </c>
      <c r="R7" s="7">
        <f t="shared" si="7"/>
        <v>-0.10969780000000018</v>
      </c>
      <c r="S7" s="8"/>
      <c r="T7" s="6">
        <f>T$3+$A7-$C7-T$1+1</f>
        <v>-0.37147829999999971</v>
      </c>
      <c r="U7" s="7">
        <f>U$3+$A7-$C7-U$1+1</f>
        <v>-1.2467554000000001</v>
      </c>
      <c r="V7" s="7">
        <f>V$3+$A7-$C7-V$1+1</f>
        <v>-1.1500412</v>
      </c>
      <c r="W7" s="7"/>
      <c r="X7" s="7">
        <f>X$3+$A7-$C7-X$1+1</f>
        <v>-1.1090957000000001</v>
      </c>
      <c r="Y7" s="7"/>
      <c r="Z7" s="7"/>
      <c r="AA7" s="8"/>
      <c r="AB7" s="6">
        <f>AB$3+$A7-$C7-AB$1+1</f>
        <v>-1.4718971999999999</v>
      </c>
      <c r="AC7" s="7"/>
      <c r="AD7" s="7"/>
      <c r="AE7" s="7"/>
      <c r="AF7" s="7"/>
      <c r="AG7" s="7"/>
      <c r="AH7" s="7"/>
      <c r="AI7" s="8"/>
    </row>
    <row r="8" spans="1:35" x14ac:dyDescent="0.25">
      <c r="A8">
        <v>1</v>
      </c>
      <c r="B8" t="str">
        <f t="shared" si="3"/>
        <v>00100</v>
      </c>
      <c r="C8">
        <v>1.3733799</v>
      </c>
      <c r="D8" s="6">
        <f t="shared" si="4"/>
        <v>1.1255900000000001</v>
      </c>
      <c r="E8" s="7">
        <f t="shared" ref="E8:F11" si="8">E$3+$A8-$C8-E$1+1</f>
        <v>0.51804660000000013</v>
      </c>
      <c r="F8" s="7">
        <f t="shared" si="8"/>
        <v>0.75101419999999997</v>
      </c>
      <c r="G8" s="7"/>
      <c r="H8" s="7">
        <f t="shared" ref="H8:J11" si="9">H$3+$A8-$C8-H$1+1</f>
        <v>0.99999999999999978</v>
      </c>
      <c r="I8" s="7">
        <f t="shared" si="9"/>
        <v>0.39564849999999985</v>
      </c>
      <c r="J8" s="7">
        <f t="shared" si="9"/>
        <v>0.58036069999999973</v>
      </c>
      <c r="K8" s="8"/>
      <c r="L8" s="6">
        <f t="shared" ref="L8:N19" si="10">L$3+$A8-$C8-L$1+1</f>
        <v>-0.10589289999999996</v>
      </c>
      <c r="M8" s="7">
        <f t="shared" si="10"/>
        <v>-0.8445551</v>
      </c>
      <c r="N8" s="7">
        <f t="shared" si="10"/>
        <v>-0.68534300000000004</v>
      </c>
      <c r="O8" s="7"/>
      <c r="P8" s="7">
        <f t="shared" ref="P8:P19" si="11">P$3+$A8-$C8-P$1+1</f>
        <v>-0.39378219999999997</v>
      </c>
      <c r="Q8" s="7"/>
      <c r="R8" s="7"/>
      <c r="S8" s="8"/>
      <c r="T8" s="6">
        <f t="shared" ref="T8:T24" si="12">T$3+$A8-$C8-T$1+1</f>
        <v>-1.272961</v>
      </c>
      <c r="U8" s="7"/>
      <c r="V8" s="7"/>
      <c r="W8" s="7"/>
      <c r="X8" s="7"/>
      <c r="Y8" s="7"/>
      <c r="Z8" s="7"/>
      <c r="AA8" s="8"/>
      <c r="AB8" s="6"/>
      <c r="AC8" s="7"/>
      <c r="AD8" s="7"/>
      <c r="AE8" s="7"/>
      <c r="AF8" s="7"/>
      <c r="AG8" s="7"/>
      <c r="AH8" s="7"/>
      <c r="AI8" s="8"/>
    </row>
    <row r="9" spans="1:35" x14ac:dyDescent="0.25">
      <c r="A9">
        <v>2</v>
      </c>
      <c r="B9" t="str">
        <f t="shared" si="3"/>
        <v>00101</v>
      </c>
      <c r="C9">
        <v>1.7690284000000001</v>
      </c>
      <c r="D9" s="6">
        <f t="shared" si="4"/>
        <v>1.7299415</v>
      </c>
      <c r="E9" s="7">
        <f t="shared" si="8"/>
        <v>1.1223981000000001</v>
      </c>
      <c r="F9" s="7">
        <f t="shared" si="8"/>
        <v>1.3553656999999999</v>
      </c>
      <c r="G9" s="7">
        <f>G$3+$A9-$C9-G$1+1</f>
        <v>0.70286879999999985</v>
      </c>
      <c r="H9" s="7">
        <f t="shared" si="9"/>
        <v>1.6043514999999997</v>
      </c>
      <c r="I9" s="7">
        <f t="shared" si="9"/>
        <v>0.99999999999999978</v>
      </c>
      <c r="J9" s="7">
        <f t="shared" si="9"/>
        <v>1.1847121999999999</v>
      </c>
      <c r="K9" s="8">
        <f>K$3+$A9-$C9-K$1+1</f>
        <v>0.58537440000000007</v>
      </c>
      <c r="L9" s="6">
        <f t="shared" si="10"/>
        <v>0.49845859999999997</v>
      </c>
      <c r="M9" s="7">
        <f t="shared" si="10"/>
        <v>-0.24020360000000029</v>
      </c>
      <c r="N9" s="7">
        <f t="shared" si="10"/>
        <v>-8.0991499999999883E-2</v>
      </c>
      <c r="O9" s="7">
        <f>O$3+$A9-$C9-O$1+1</f>
        <v>-0.83596649999999983</v>
      </c>
      <c r="P9" s="7">
        <f t="shared" si="11"/>
        <v>0.21056930000000018</v>
      </c>
      <c r="Q9" s="7">
        <f t="shared" ref="Q9:R11" si="13">Q$3+$A9-$C9-Q$1+1</f>
        <v>-0.56171040000000017</v>
      </c>
      <c r="R9" s="7">
        <f t="shared" si="13"/>
        <v>-0.40682900000000033</v>
      </c>
      <c r="S9" s="8"/>
      <c r="T9" s="6">
        <f t="shared" si="12"/>
        <v>-0.66860949999999986</v>
      </c>
      <c r="U9" s="7">
        <f t="shared" ref="U9:V11" si="14">U$3+$A9-$C9-U$1+1</f>
        <v>-1.5438866000000004</v>
      </c>
      <c r="V9" s="7">
        <f t="shared" si="14"/>
        <v>-1.4471724000000004</v>
      </c>
      <c r="W9" s="7"/>
      <c r="X9" s="7">
        <f>X$3+$A9-$C9-X$1+1</f>
        <v>-1.4062269000000001</v>
      </c>
      <c r="Y9" s="7"/>
      <c r="Z9" s="7"/>
      <c r="AA9" s="8"/>
      <c r="AB9" s="6">
        <f>AB$3+$A9-$C9-AB$1+1</f>
        <v>-1.7690283999999998</v>
      </c>
      <c r="AC9" s="7"/>
      <c r="AD9" s="7"/>
      <c r="AE9" s="7"/>
      <c r="AF9" s="7"/>
      <c r="AG9" s="7"/>
      <c r="AH9" s="7"/>
      <c r="AI9" s="8"/>
    </row>
    <row r="10" spans="1:35" x14ac:dyDescent="0.25">
      <c r="A10">
        <v>2</v>
      </c>
      <c r="B10" t="str">
        <f t="shared" si="3"/>
        <v>00110</v>
      </c>
      <c r="C10">
        <v>1.9537405999999999</v>
      </c>
      <c r="D10" s="6">
        <f t="shared" si="4"/>
        <v>1.5452293000000001</v>
      </c>
      <c r="E10" s="7">
        <f t="shared" si="8"/>
        <v>0.93768590000000018</v>
      </c>
      <c r="F10" s="7">
        <f t="shared" si="8"/>
        <v>1.1706535</v>
      </c>
      <c r="G10" s="7">
        <f>G$3+$A10-$C10-G$1+1</f>
        <v>0.51815659999999997</v>
      </c>
      <c r="H10" s="7">
        <f t="shared" si="9"/>
        <v>1.4196392999999998</v>
      </c>
      <c r="I10" s="7">
        <f t="shared" si="9"/>
        <v>0.8152877999999999</v>
      </c>
      <c r="J10" s="7">
        <f t="shared" si="9"/>
        <v>0.99999999999999978</v>
      </c>
      <c r="K10" s="8">
        <f>K$3+$A10-$C10-K$1+1</f>
        <v>0.40066220000000019</v>
      </c>
      <c r="L10" s="6">
        <f t="shared" si="10"/>
        <v>0.31374640000000009</v>
      </c>
      <c r="M10" s="7">
        <f t="shared" si="10"/>
        <v>-0.42491580000000018</v>
      </c>
      <c r="N10" s="7">
        <f t="shared" si="10"/>
        <v>-0.26570369999999977</v>
      </c>
      <c r="O10" s="7">
        <f>O$3+$A10-$C10-O$1+1</f>
        <v>-1.0206786999999995</v>
      </c>
      <c r="P10" s="7">
        <f t="shared" si="11"/>
        <v>2.5857100000000299E-2</v>
      </c>
      <c r="Q10" s="7">
        <f t="shared" si="13"/>
        <v>-0.74642260000000005</v>
      </c>
      <c r="R10" s="7">
        <f t="shared" si="13"/>
        <v>-0.59154120000000021</v>
      </c>
      <c r="S10" s="8"/>
      <c r="T10" s="6">
        <f t="shared" si="12"/>
        <v>-0.85332169999999974</v>
      </c>
      <c r="U10" s="7">
        <f t="shared" si="14"/>
        <v>-1.7285988000000003</v>
      </c>
      <c r="V10" s="7">
        <f t="shared" si="14"/>
        <v>-1.6318846000000002</v>
      </c>
      <c r="W10" s="7"/>
      <c r="X10" s="7">
        <f>X$3+$A10-$C10-X$1+1</f>
        <v>-1.5909390999999999</v>
      </c>
      <c r="Y10" s="7"/>
      <c r="Z10" s="7"/>
      <c r="AA10" s="8"/>
      <c r="AB10" s="6">
        <f>AB$3+$A10-$C10-AB$1+1</f>
        <v>-1.9537405999999997</v>
      </c>
      <c r="AC10" s="7"/>
      <c r="AD10" s="7"/>
      <c r="AE10" s="7"/>
      <c r="AF10" s="7"/>
      <c r="AG10" s="7"/>
      <c r="AH10" s="7"/>
      <c r="AI10" s="8"/>
    </row>
    <row r="11" spans="1:35" x14ac:dyDescent="0.25">
      <c r="A11">
        <v>3</v>
      </c>
      <c r="B11" t="str">
        <f t="shared" si="3"/>
        <v>00111</v>
      </c>
      <c r="C11">
        <v>2.3544027999999999</v>
      </c>
      <c r="D11" s="9">
        <f t="shared" si="4"/>
        <v>2.1445671000000002</v>
      </c>
      <c r="E11" s="10">
        <f t="shared" si="8"/>
        <v>1.5370237000000002</v>
      </c>
      <c r="F11" s="10">
        <f t="shared" si="8"/>
        <v>1.7699913</v>
      </c>
      <c r="G11" s="10">
        <f>G$3+$A11-$C11-G$1+1</f>
        <v>1.1174944</v>
      </c>
      <c r="H11" s="10">
        <f t="shared" si="9"/>
        <v>2.0189770999999999</v>
      </c>
      <c r="I11" s="10">
        <f t="shared" si="9"/>
        <v>1.4146255999999999</v>
      </c>
      <c r="J11" s="10">
        <f t="shared" si="9"/>
        <v>1.5993377999999998</v>
      </c>
      <c r="K11" s="11">
        <f>K$3+$A11-$C11-K$1+1</f>
        <v>1</v>
      </c>
      <c r="L11" s="9">
        <f t="shared" si="10"/>
        <v>0.91308420000000012</v>
      </c>
      <c r="M11" s="10">
        <f t="shared" si="10"/>
        <v>0.17442199999999985</v>
      </c>
      <c r="N11" s="10">
        <f t="shared" si="10"/>
        <v>0.33363410000000027</v>
      </c>
      <c r="O11" s="10">
        <f>O$3+$A11-$C11-O$1+1</f>
        <v>-0.42134089999999969</v>
      </c>
      <c r="P11" s="10">
        <f t="shared" si="11"/>
        <v>0.62519490000000033</v>
      </c>
      <c r="Q11" s="10">
        <f t="shared" si="13"/>
        <v>-0.14708480000000002</v>
      </c>
      <c r="R11" s="10">
        <f t="shared" si="13"/>
        <v>7.7965999999998203E-3</v>
      </c>
      <c r="S11" s="11">
        <f>S$3+$A11-$C11-S$1+1</f>
        <v>-0.79624939999999977</v>
      </c>
      <c r="T11" s="9">
        <f t="shared" si="12"/>
        <v>-0.25398389999999971</v>
      </c>
      <c r="U11" s="10">
        <f t="shared" si="14"/>
        <v>-1.1292610000000001</v>
      </c>
      <c r="V11" s="10">
        <f t="shared" si="14"/>
        <v>-1.0325468</v>
      </c>
      <c r="W11" s="10">
        <f>W$3+$A11-$C11-W$1+1</f>
        <v>-1.9081117000000001</v>
      </c>
      <c r="X11" s="10">
        <f>X$3+$A11-$C11-X$1+1</f>
        <v>-0.99160130000000013</v>
      </c>
      <c r="Y11" s="10">
        <f>Y$3+$A11-$C11-Y$1+1</f>
        <v>-1.8555495999999998</v>
      </c>
      <c r="Z11" s="10">
        <f>Z$3+$A11-$C11-Z$1+1</f>
        <v>-1.7862463000000002</v>
      </c>
      <c r="AA11" s="11"/>
      <c r="AB11" s="9">
        <f>AB$3+$A11-$C11-AB$1+1</f>
        <v>-1.3544027999999999</v>
      </c>
      <c r="AC11" s="10">
        <f>AC$3+$A11-$C11-AC$1+1</f>
        <v>-2.3544027999999999</v>
      </c>
      <c r="AD11" s="10">
        <f>AD$3+$A11-$C11-AD$1+1</f>
        <v>-2.3544027999999999</v>
      </c>
      <c r="AE11" s="10"/>
      <c r="AF11" s="10">
        <f>AF$3+$A11-$C11-AF$1+1</f>
        <v>-2.3544027999999999</v>
      </c>
      <c r="AG11" s="10"/>
      <c r="AH11" s="10"/>
      <c r="AI11" s="11"/>
    </row>
    <row r="12" spans="1:35" x14ac:dyDescent="0.25">
      <c r="A12">
        <f>A4+1</f>
        <v>1</v>
      </c>
      <c r="B12" t="str">
        <f t="shared" si="3"/>
        <v>01000</v>
      </c>
      <c r="C12">
        <v>0.26748699999999997</v>
      </c>
      <c r="D12" s="3"/>
      <c r="E12" s="4"/>
      <c r="F12" s="4"/>
      <c r="G12" s="4"/>
      <c r="H12" s="4"/>
      <c r="I12" s="4"/>
      <c r="J12" s="4"/>
      <c r="K12" s="5"/>
      <c r="L12" s="3">
        <f t="shared" si="10"/>
        <v>1</v>
      </c>
      <c r="M12" s="4">
        <f t="shared" si="10"/>
        <v>0.26133779999999995</v>
      </c>
      <c r="N12" s="4">
        <f t="shared" si="10"/>
        <v>0.42054989999999992</v>
      </c>
      <c r="O12" s="4"/>
      <c r="P12" s="4">
        <f t="shared" si="11"/>
        <v>0.71211069999999999</v>
      </c>
      <c r="Q12" s="4"/>
      <c r="R12" s="4"/>
      <c r="S12" s="5"/>
      <c r="T12" s="3">
        <f t="shared" si="12"/>
        <v>-0.16706810000000005</v>
      </c>
      <c r="U12" s="4"/>
      <c r="V12" s="4"/>
      <c r="W12" s="4"/>
      <c r="X12" s="4"/>
      <c r="Y12" s="4"/>
      <c r="Z12" s="4"/>
      <c r="AA12" s="5"/>
      <c r="AB12" s="3"/>
      <c r="AC12" s="4"/>
      <c r="AD12" s="4"/>
      <c r="AE12" s="4"/>
      <c r="AF12" s="4"/>
      <c r="AG12" s="4"/>
      <c r="AH12" s="4"/>
      <c r="AI12" s="5"/>
    </row>
    <row r="13" spans="1:35" x14ac:dyDescent="0.25">
      <c r="A13">
        <f t="shared" ref="A13:A27" si="15">A5+1</f>
        <v>2</v>
      </c>
      <c r="B13" t="str">
        <f t="shared" si="3"/>
        <v>01001</v>
      </c>
      <c r="C13">
        <v>0.52882479999999998</v>
      </c>
      <c r="D13" s="6"/>
      <c r="E13" s="7"/>
      <c r="F13" s="7"/>
      <c r="G13" s="7"/>
      <c r="H13" s="7"/>
      <c r="I13" s="7"/>
      <c r="J13" s="7"/>
      <c r="K13" s="8"/>
      <c r="L13" s="6">
        <f t="shared" si="10"/>
        <v>1.7386622</v>
      </c>
      <c r="M13" s="7">
        <f t="shared" si="10"/>
        <v>0.99999999999999978</v>
      </c>
      <c r="N13" s="7">
        <f t="shared" si="10"/>
        <v>1.1592121000000004</v>
      </c>
      <c r="O13" s="7">
        <f>O$3+$A13-$C13-O$1+1</f>
        <v>0.40423710000000046</v>
      </c>
      <c r="P13" s="7">
        <f t="shared" si="11"/>
        <v>1.4507729000000005</v>
      </c>
      <c r="Q13" s="7">
        <f t="shared" ref="Q13:R19" si="16">Q$3+$A13-$C13-Q$1+1</f>
        <v>0.67849320000000013</v>
      </c>
      <c r="R13" s="7">
        <f t="shared" si="16"/>
        <v>0.83337459999999997</v>
      </c>
      <c r="S13" s="8"/>
      <c r="T13" s="6">
        <f t="shared" si="12"/>
        <v>0.57159410000000022</v>
      </c>
      <c r="U13" s="7">
        <f t="shared" ref="U13:V24" si="17">U$3+$A13-$C13-U$1+1</f>
        <v>-0.30368300000000015</v>
      </c>
      <c r="V13" s="7">
        <f t="shared" si="17"/>
        <v>-0.20696880000000006</v>
      </c>
      <c r="W13" s="7"/>
      <c r="X13" s="7">
        <f t="shared" ref="X13:X24" si="18">X$3+$A13-$C13-X$1+1</f>
        <v>-0.16602330000000021</v>
      </c>
      <c r="Y13" s="7"/>
      <c r="Z13" s="7"/>
      <c r="AA13" s="8"/>
      <c r="AB13" s="6">
        <f t="shared" ref="AB13:AB24" si="19">AB$3+$A13-$C13-AB$1+1</f>
        <v>-0.52882479999999998</v>
      </c>
      <c r="AC13" s="7"/>
      <c r="AD13" s="7"/>
      <c r="AE13" s="7"/>
      <c r="AF13" s="7"/>
      <c r="AG13" s="7"/>
      <c r="AH13" s="7"/>
      <c r="AI13" s="8"/>
    </row>
    <row r="14" spans="1:35" x14ac:dyDescent="0.25">
      <c r="A14">
        <f t="shared" si="15"/>
        <v>2</v>
      </c>
      <c r="B14" t="str">
        <f t="shared" si="3"/>
        <v>01010</v>
      </c>
      <c r="C14">
        <v>0.68803689999999995</v>
      </c>
      <c r="D14" s="6"/>
      <c r="E14" s="7"/>
      <c r="F14" s="7"/>
      <c r="G14" s="7"/>
      <c r="H14" s="7"/>
      <c r="I14" s="7"/>
      <c r="J14" s="7"/>
      <c r="K14" s="8"/>
      <c r="L14" s="6">
        <f t="shared" si="10"/>
        <v>1.5794501000000001</v>
      </c>
      <c r="M14" s="7">
        <f t="shared" si="10"/>
        <v>0.84078789999999981</v>
      </c>
      <c r="N14" s="7">
        <f t="shared" si="10"/>
        <v>1</v>
      </c>
      <c r="O14" s="7">
        <f>O$3+$A14-$C14-O$1+1</f>
        <v>0.24502500000000005</v>
      </c>
      <c r="P14" s="7">
        <f t="shared" si="11"/>
        <v>1.2915608000000001</v>
      </c>
      <c r="Q14" s="7">
        <f t="shared" si="16"/>
        <v>0.51928109999999972</v>
      </c>
      <c r="R14" s="7">
        <f t="shared" si="16"/>
        <v>0.67416249999999955</v>
      </c>
      <c r="S14" s="8"/>
      <c r="T14" s="6">
        <f t="shared" si="12"/>
        <v>0.41238200000000025</v>
      </c>
      <c r="U14" s="7">
        <f t="shared" si="17"/>
        <v>-0.46289510000000011</v>
      </c>
      <c r="V14" s="7">
        <f t="shared" si="17"/>
        <v>-0.36618090000000003</v>
      </c>
      <c r="W14" s="7"/>
      <c r="X14" s="7">
        <f t="shared" si="18"/>
        <v>-0.32523540000000017</v>
      </c>
      <c r="Y14" s="7"/>
      <c r="Z14" s="7"/>
      <c r="AA14" s="8"/>
      <c r="AB14" s="6">
        <f t="shared" si="19"/>
        <v>-0.68803689999999995</v>
      </c>
      <c r="AC14" s="7"/>
      <c r="AD14" s="7"/>
      <c r="AE14" s="7"/>
      <c r="AF14" s="7"/>
      <c r="AG14" s="7"/>
      <c r="AH14" s="7"/>
      <c r="AI14" s="8"/>
    </row>
    <row r="15" spans="1:35" x14ac:dyDescent="0.25">
      <c r="A15">
        <f t="shared" si="15"/>
        <v>3</v>
      </c>
      <c r="B15" t="str">
        <f t="shared" si="3"/>
        <v>01011</v>
      </c>
      <c r="C15">
        <v>0.9330619</v>
      </c>
      <c r="D15" s="6"/>
      <c r="E15" s="7"/>
      <c r="F15" s="7"/>
      <c r="G15" s="7"/>
      <c r="H15" s="7"/>
      <c r="I15" s="7"/>
      <c r="J15" s="7"/>
      <c r="K15" s="8"/>
      <c r="L15" s="6">
        <f t="shared" si="10"/>
        <v>2.3344250999999998</v>
      </c>
      <c r="M15" s="7">
        <f t="shared" si="10"/>
        <v>1.5957628999999995</v>
      </c>
      <c r="N15" s="7">
        <f t="shared" si="10"/>
        <v>1.754975</v>
      </c>
      <c r="O15" s="7">
        <f>O$3+$A15-$C15-O$1+1</f>
        <v>1</v>
      </c>
      <c r="P15" s="7">
        <f t="shared" si="11"/>
        <v>2.0465358</v>
      </c>
      <c r="Q15" s="7">
        <f t="shared" si="16"/>
        <v>1.2742560999999997</v>
      </c>
      <c r="R15" s="7">
        <f t="shared" si="16"/>
        <v>1.4291374999999995</v>
      </c>
      <c r="S15" s="8">
        <f>S$3+$A15-$C15-S$1+1</f>
        <v>0.62509149999999991</v>
      </c>
      <c r="T15" s="6">
        <f t="shared" si="12"/>
        <v>1.167357</v>
      </c>
      <c r="U15" s="7">
        <f t="shared" si="17"/>
        <v>0.29207990000000006</v>
      </c>
      <c r="V15" s="7">
        <f t="shared" si="17"/>
        <v>0.38879410000000014</v>
      </c>
      <c r="W15" s="7">
        <f>W$3+$A15-$C15-W$1+1</f>
        <v>-0.48677080000000039</v>
      </c>
      <c r="X15" s="7">
        <f t="shared" si="18"/>
        <v>0.42973959999999956</v>
      </c>
      <c r="Y15" s="7">
        <f>Y$3+$A15-$C15-Y$1+1</f>
        <v>-0.43420870000000011</v>
      </c>
      <c r="Z15" s="7">
        <f>Z$3+$A15-$C15-Z$1+1</f>
        <v>-0.36490540000000049</v>
      </c>
      <c r="AA15" s="8"/>
      <c r="AB15" s="6">
        <f t="shared" si="19"/>
        <v>6.6938099999999778E-2</v>
      </c>
      <c r="AC15" s="7">
        <f>AC$3+$A15-$C15-AC$1+1</f>
        <v>-0.93306190000000022</v>
      </c>
      <c r="AD15" s="7">
        <f>AD$3+$A15-$C15-AD$1+1</f>
        <v>-0.93306190000000022</v>
      </c>
      <c r="AE15" s="7"/>
      <c r="AF15" s="7">
        <f>AF$3+$A15-$C15-AF$1+1</f>
        <v>-0.93306190000000022</v>
      </c>
      <c r="AG15" s="7">
        <f>AG$3+$A15-$C15-AG$1+1</f>
        <v>-1.9330619000000002</v>
      </c>
      <c r="AH15" s="7"/>
      <c r="AI15" s="8"/>
    </row>
    <row r="16" spans="1:35" x14ac:dyDescent="0.25">
      <c r="A16">
        <f t="shared" si="15"/>
        <v>2</v>
      </c>
      <c r="B16" t="str">
        <f t="shared" si="3"/>
        <v>01100</v>
      </c>
      <c r="C16">
        <v>0.97959770000000002</v>
      </c>
      <c r="D16" s="6"/>
      <c r="E16" s="7"/>
      <c r="F16" s="7"/>
      <c r="G16" s="7"/>
      <c r="H16" s="7"/>
      <c r="I16" s="7"/>
      <c r="J16" s="7"/>
      <c r="K16" s="8"/>
      <c r="L16" s="6">
        <f t="shared" si="10"/>
        <v>1.2878893</v>
      </c>
      <c r="M16" s="7">
        <f t="shared" si="10"/>
        <v>0.54922709999999975</v>
      </c>
      <c r="N16" s="7">
        <f t="shared" si="10"/>
        <v>0.70843920000000016</v>
      </c>
      <c r="O16" s="7"/>
      <c r="P16" s="7">
        <f t="shared" si="11"/>
        <v>1</v>
      </c>
      <c r="Q16" s="7">
        <f t="shared" si="16"/>
        <v>0.22772029999999965</v>
      </c>
      <c r="R16" s="7">
        <f t="shared" si="16"/>
        <v>0.38260169999999949</v>
      </c>
      <c r="S16" s="8"/>
      <c r="T16" s="6">
        <f t="shared" si="12"/>
        <v>0.12082120000000018</v>
      </c>
      <c r="U16" s="7">
        <f t="shared" si="17"/>
        <v>-0.75445590000000018</v>
      </c>
      <c r="V16" s="7">
        <f t="shared" si="17"/>
        <v>-0.6577417000000001</v>
      </c>
      <c r="W16" s="7"/>
      <c r="X16" s="7">
        <f t="shared" si="18"/>
        <v>-0.61679620000000024</v>
      </c>
      <c r="Y16" s="7"/>
      <c r="Z16" s="7"/>
      <c r="AA16" s="8"/>
      <c r="AB16" s="6">
        <f t="shared" si="19"/>
        <v>-0.97959770000000002</v>
      </c>
      <c r="AC16" s="7"/>
      <c r="AD16" s="7"/>
      <c r="AE16" s="7"/>
      <c r="AF16" s="7"/>
      <c r="AG16" s="7"/>
      <c r="AH16" s="7"/>
      <c r="AI16" s="8"/>
    </row>
    <row r="17" spans="1:35" x14ac:dyDescent="0.25">
      <c r="A17">
        <f t="shared" si="15"/>
        <v>3</v>
      </c>
      <c r="B17" t="str">
        <f t="shared" si="3"/>
        <v>01101</v>
      </c>
      <c r="C17">
        <v>1.2073179999999999</v>
      </c>
      <c r="D17" s="6"/>
      <c r="E17" s="7"/>
      <c r="F17" s="7"/>
      <c r="G17" s="7"/>
      <c r="H17" s="7"/>
      <c r="I17" s="7"/>
      <c r="J17" s="7"/>
      <c r="K17" s="8"/>
      <c r="L17" s="6">
        <f t="shared" si="10"/>
        <v>2.0601690000000001</v>
      </c>
      <c r="M17" s="7">
        <f t="shared" si="10"/>
        <v>1.3215067999999999</v>
      </c>
      <c r="N17" s="7">
        <f t="shared" si="10"/>
        <v>1.4807189000000003</v>
      </c>
      <c r="O17" s="7">
        <f>O$3+$A17-$C17-O$1+1</f>
        <v>0.72574390000000033</v>
      </c>
      <c r="P17" s="7">
        <f t="shared" si="11"/>
        <v>1.7722797000000003</v>
      </c>
      <c r="Q17" s="7">
        <f t="shared" si="16"/>
        <v>1</v>
      </c>
      <c r="R17" s="7">
        <f t="shared" si="16"/>
        <v>1.1548813999999998</v>
      </c>
      <c r="S17" s="8">
        <f>S$3+$A17-$C17-S$1+1</f>
        <v>0.35083540000000024</v>
      </c>
      <c r="T17" s="6">
        <f t="shared" si="12"/>
        <v>0.89310090000000031</v>
      </c>
      <c r="U17" s="7">
        <f t="shared" si="17"/>
        <v>1.7823799999999945E-2</v>
      </c>
      <c r="V17" s="7">
        <f t="shared" si="17"/>
        <v>0.11453800000000003</v>
      </c>
      <c r="W17" s="7">
        <f>W$3+$A17-$C17-W$1+1</f>
        <v>-0.76102690000000006</v>
      </c>
      <c r="X17" s="7">
        <f t="shared" si="18"/>
        <v>0.15548349999999989</v>
      </c>
      <c r="Y17" s="7">
        <f t="shared" ref="Y17:Z19" si="20">Y$3+$A17-$C17-Y$1+1</f>
        <v>-0.70846479999999978</v>
      </c>
      <c r="Z17" s="7">
        <f t="shared" si="20"/>
        <v>-0.63916150000000016</v>
      </c>
      <c r="AA17" s="8"/>
      <c r="AB17" s="6">
        <f t="shared" si="19"/>
        <v>-0.20731799999999989</v>
      </c>
      <c r="AC17" s="7">
        <f t="shared" ref="AC17:AD19" si="21">AC$3+$A17-$C17-AC$1+1</f>
        <v>-1.2073179999999999</v>
      </c>
      <c r="AD17" s="7">
        <f t="shared" si="21"/>
        <v>-1.2073179999999999</v>
      </c>
      <c r="AE17" s="7"/>
      <c r="AF17" s="7">
        <f t="shared" ref="AF17:AG19" si="22">AF$3+$A17-$C17-AF$1+1</f>
        <v>-1.2073179999999999</v>
      </c>
      <c r="AG17" s="7">
        <f t="shared" si="22"/>
        <v>-2.2073179999999999</v>
      </c>
      <c r="AH17" s="7"/>
      <c r="AI17" s="8"/>
    </row>
    <row r="18" spans="1:35" x14ac:dyDescent="0.25">
      <c r="A18">
        <f t="shared" si="15"/>
        <v>3</v>
      </c>
      <c r="B18" t="str">
        <f t="shared" si="3"/>
        <v>01110</v>
      </c>
      <c r="C18">
        <v>1.3621993999999999</v>
      </c>
      <c r="D18" s="6"/>
      <c r="E18" s="7"/>
      <c r="F18" s="7"/>
      <c r="G18" s="7"/>
      <c r="H18" s="7"/>
      <c r="I18" s="7"/>
      <c r="J18" s="7"/>
      <c r="K18" s="8"/>
      <c r="L18" s="6">
        <f t="shared" si="10"/>
        <v>1.9052876000000001</v>
      </c>
      <c r="M18" s="7">
        <f t="shared" si="10"/>
        <v>1.1666254</v>
      </c>
      <c r="N18" s="7">
        <f t="shared" si="10"/>
        <v>1.3258375000000004</v>
      </c>
      <c r="O18" s="7">
        <f>O$3+$A18-$C18-O$1+1</f>
        <v>0.57086250000000049</v>
      </c>
      <c r="P18" s="7">
        <f t="shared" si="11"/>
        <v>1.6173983000000005</v>
      </c>
      <c r="Q18" s="7">
        <f t="shared" si="16"/>
        <v>0.84511860000000016</v>
      </c>
      <c r="R18" s="7">
        <f t="shared" si="16"/>
        <v>1</v>
      </c>
      <c r="S18" s="8">
        <f>S$3+$A18-$C18-S$1+1</f>
        <v>0.19595400000000041</v>
      </c>
      <c r="T18" s="6">
        <f t="shared" si="12"/>
        <v>0.73821950000000025</v>
      </c>
      <c r="U18" s="7">
        <f t="shared" si="17"/>
        <v>-0.13705760000000011</v>
      </c>
      <c r="V18" s="7">
        <f t="shared" si="17"/>
        <v>-4.0343400000000029E-2</v>
      </c>
      <c r="W18" s="7">
        <f>W$3+$A18-$C18-W$1+1</f>
        <v>-0.9159082999999999</v>
      </c>
      <c r="X18" s="7">
        <f t="shared" si="18"/>
        <v>6.0210000000004982E-4</v>
      </c>
      <c r="Y18" s="7">
        <f t="shared" si="20"/>
        <v>-0.86334619999999962</v>
      </c>
      <c r="Z18" s="7">
        <f t="shared" si="20"/>
        <v>-0.7940429</v>
      </c>
      <c r="AA18" s="8"/>
      <c r="AB18" s="6">
        <f t="shared" si="19"/>
        <v>-0.36219939999999995</v>
      </c>
      <c r="AC18" s="7">
        <f t="shared" si="21"/>
        <v>-1.3621993999999997</v>
      </c>
      <c r="AD18" s="7">
        <f t="shared" si="21"/>
        <v>-1.3621993999999997</v>
      </c>
      <c r="AE18" s="7"/>
      <c r="AF18" s="7">
        <f t="shared" si="22"/>
        <v>-1.3621993999999997</v>
      </c>
      <c r="AG18" s="7">
        <f t="shared" si="22"/>
        <v>-2.3621993999999997</v>
      </c>
      <c r="AH18" s="7"/>
      <c r="AI18" s="8"/>
    </row>
    <row r="19" spans="1:35" x14ac:dyDescent="0.25">
      <c r="A19">
        <f t="shared" si="15"/>
        <v>4</v>
      </c>
      <c r="B19" t="str">
        <f t="shared" si="3"/>
        <v>01111</v>
      </c>
      <c r="C19">
        <v>1.5581533999999999</v>
      </c>
      <c r="D19" s="9"/>
      <c r="E19" s="10"/>
      <c r="F19" s="10"/>
      <c r="G19" s="10"/>
      <c r="H19" s="10"/>
      <c r="I19" s="10"/>
      <c r="J19" s="10"/>
      <c r="K19" s="11"/>
      <c r="L19" s="9">
        <f t="shared" si="10"/>
        <v>2.7093335999999999</v>
      </c>
      <c r="M19" s="10">
        <f t="shared" si="10"/>
        <v>1.9706713999999996</v>
      </c>
      <c r="N19" s="10">
        <f t="shared" si="10"/>
        <v>2.1298835</v>
      </c>
      <c r="O19" s="10">
        <f>O$3+$A19-$C19-O$1+1</f>
        <v>1.3749085000000001</v>
      </c>
      <c r="P19" s="10">
        <f t="shared" si="11"/>
        <v>2.4214443000000001</v>
      </c>
      <c r="Q19" s="10">
        <f t="shared" si="16"/>
        <v>1.6491645999999998</v>
      </c>
      <c r="R19" s="10">
        <f t="shared" si="16"/>
        <v>1.8040459999999996</v>
      </c>
      <c r="S19" s="11">
        <f>S$3+$A19-$C19-S$1+1</f>
        <v>1</v>
      </c>
      <c r="T19" s="9">
        <f t="shared" si="12"/>
        <v>1.5422655000000001</v>
      </c>
      <c r="U19" s="10">
        <f t="shared" si="17"/>
        <v>0.66698840000000015</v>
      </c>
      <c r="V19" s="10">
        <f t="shared" si="17"/>
        <v>0.76370260000000023</v>
      </c>
      <c r="W19" s="10">
        <f>W$3+$A19-$C19-W$1+1</f>
        <v>-0.1118623000000003</v>
      </c>
      <c r="X19" s="10">
        <f t="shared" si="18"/>
        <v>0.80464809999999964</v>
      </c>
      <c r="Y19" s="10">
        <f t="shared" si="20"/>
        <v>-5.9300200000000025E-2</v>
      </c>
      <c r="Z19" s="10">
        <f t="shared" si="20"/>
        <v>1.0003099999999598E-2</v>
      </c>
      <c r="AA19" s="11">
        <f>AA$3+$A19-$C19-AA$1+1</f>
        <v>-0.78523030000000027</v>
      </c>
      <c r="AB19" s="9">
        <f t="shared" si="19"/>
        <v>0.44184659999999987</v>
      </c>
      <c r="AC19" s="10">
        <f t="shared" si="21"/>
        <v>-0.55815340000000013</v>
      </c>
      <c r="AD19" s="10">
        <f t="shared" si="21"/>
        <v>-0.55815340000000013</v>
      </c>
      <c r="AE19" s="10">
        <f>AE$3+$A19-$C19-AE$1+1</f>
        <v>-1.5581534000000001</v>
      </c>
      <c r="AF19" s="10">
        <f t="shared" si="22"/>
        <v>-0.55815340000000013</v>
      </c>
      <c r="AG19" s="10">
        <f t="shared" si="22"/>
        <v>-1.5581534000000001</v>
      </c>
      <c r="AH19" s="10">
        <f>AH$3+$A19-$C19-AH$1+1</f>
        <v>-1.5581534000000001</v>
      </c>
      <c r="AI19" s="11"/>
    </row>
    <row r="20" spans="1:35" x14ac:dyDescent="0.25">
      <c r="A20">
        <f t="shared" si="15"/>
        <v>2</v>
      </c>
      <c r="B20" t="str">
        <f t="shared" si="3"/>
        <v>10000</v>
      </c>
      <c r="C20">
        <v>0.10041890000000001</v>
      </c>
      <c r="D20" s="3"/>
      <c r="E20" s="4"/>
      <c r="F20" s="4"/>
      <c r="G20" s="4"/>
      <c r="H20" s="4"/>
      <c r="I20" s="4"/>
      <c r="J20" s="4"/>
      <c r="K20" s="5"/>
      <c r="L20" s="3"/>
      <c r="M20" s="4"/>
      <c r="N20" s="4"/>
      <c r="O20" s="4"/>
      <c r="P20" s="4"/>
      <c r="Q20" s="4"/>
      <c r="R20" s="4"/>
      <c r="S20" s="5"/>
      <c r="T20" s="3">
        <f t="shared" si="12"/>
        <v>1</v>
      </c>
      <c r="U20" s="4">
        <f t="shared" si="17"/>
        <v>0.12472289999999964</v>
      </c>
      <c r="V20" s="4">
        <f t="shared" si="17"/>
        <v>0.22143709999999972</v>
      </c>
      <c r="W20" s="4"/>
      <c r="X20" s="4">
        <f t="shared" si="18"/>
        <v>0.26238259999999958</v>
      </c>
      <c r="Y20" s="4"/>
      <c r="Z20" s="4"/>
      <c r="AA20" s="5"/>
      <c r="AB20" s="3">
        <f t="shared" si="19"/>
        <v>-0.10041889999999998</v>
      </c>
      <c r="AC20" s="4"/>
      <c r="AD20" s="4"/>
      <c r="AE20" s="4"/>
      <c r="AF20" s="4"/>
      <c r="AG20" s="4"/>
      <c r="AH20" s="4"/>
      <c r="AI20" s="5"/>
    </row>
    <row r="21" spans="1:35" x14ac:dyDescent="0.25">
      <c r="A21">
        <f t="shared" si="15"/>
        <v>3</v>
      </c>
      <c r="B21" t="str">
        <f t="shared" si="3"/>
        <v>10001</v>
      </c>
      <c r="C21">
        <v>0.2251418</v>
      </c>
      <c r="D21" s="6"/>
      <c r="E21" s="7"/>
      <c r="F21" s="7"/>
      <c r="G21" s="7"/>
      <c r="H21" s="7"/>
      <c r="I21" s="7"/>
      <c r="J21" s="7"/>
      <c r="K21" s="8"/>
      <c r="L21" s="6"/>
      <c r="M21" s="7"/>
      <c r="N21" s="7"/>
      <c r="O21" s="7"/>
      <c r="P21" s="7"/>
      <c r="Q21" s="7"/>
      <c r="R21" s="7"/>
      <c r="S21" s="8"/>
      <c r="T21" s="6">
        <f t="shared" si="12"/>
        <v>1.8752771000000004</v>
      </c>
      <c r="U21" s="7">
        <f t="shared" si="17"/>
        <v>1</v>
      </c>
      <c r="V21" s="7">
        <f t="shared" si="17"/>
        <v>1.0967142000000001</v>
      </c>
      <c r="W21" s="7">
        <f>W$3+$A21-$C21-W$1+1</f>
        <v>0.22114929999999999</v>
      </c>
      <c r="X21" s="7">
        <f t="shared" si="18"/>
        <v>1.1376596999999999</v>
      </c>
      <c r="Y21" s="7">
        <f t="shared" ref="Y21:Z24" si="23">Y$3+$A21-$C21-Y$1+1</f>
        <v>0.27371140000000027</v>
      </c>
      <c r="Z21" s="7">
        <f t="shared" si="23"/>
        <v>0.34301469999999989</v>
      </c>
      <c r="AA21" s="8"/>
      <c r="AB21" s="6">
        <f t="shared" si="19"/>
        <v>0.77485820000000016</v>
      </c>
      <c r="AC21" s="7">
        <f t="shared" ref="AC21:AD24" si="24">AC$3+$A21-$C21-AC$1+1</f>
        <v>-0.22514179999999984</v>
      </c>
      <c r="AD21" s="7">
        <f t="shared" si="24"/>
        <v>-0.22514179999999984</v>
      </c>
      <c r="AE21" s="7"/>
      <c r="AF21" s="7">
        <f t="shared" ref="AF21:AG24" si="25">AF$3+$A21-$C21-AF$1+1</f>
        <v>-0.22514179999999984</v>
      </c>
      <c r="AG21" s="7">
        <f t="shared" si="25"/>
        <v>-1.2251417999999998</v>
      </c>
      <c r="AH21" s="7"/>
      <c r="AI21" s="8"/>
    </row>
    <row r="22" spans="1:35" x14ac:dyDescent="0.25">
      <c r="A22">
        <f t="shared" si="15"/>
        <v>3</v>
      </c>
      <c r="B22" t="str">
        <f t="shared" si="3"/>
        <v>10010</v>
      </c>
      <c r="C22">
        <v>0.32185599999999998</v>
      </c>
      <c r="D22" s="6"/>
      <c r="E22" s="7"/>
      <c r="F22" s="7"/>
      <c r="G22" s="7"/>
      <c r="H22" s="7"/>
      <c r="I22" s="7"/>
      <c r="J22" s="7"/>
      <c r="K22" s="8"/>
      <c r="L22" s="6"/>
      <c r="M22" s="7"/>
      <c r="N22" s="7"/>
      <c r="O22" s="7"/>
      <c r="P22" s="7"/>
      <c r="Q22" s="7"/>
      <c r="R22" s="7"/>
      <c r="S22" s="8"/>
      <c r="T22" s="6">
        <f t="shared" si="12"/>
        <v>1.7785629000000003</v>
      </c>
      <c r="U22" s="7">
        <f t="shared" si="17"/>
        <v>0.90328579999999992</v>
      </c>
      <c r="V22" s="7">
        <f t="shared" si="17"/>
        <v>1</v>
      </c>
      <c r="W22" s="7">
        <f>W$3+$A22-$C22-W$1+1</f>
        <v>0.12443509999999991</v>
      </c>
      <c r="X22" s="7">
        <f t="shared" si="18"/>
        <v>1.0409454999999999</v>
      </c>
      <c r="Y22" s="7">
        <f t="shared" si="23"/>
        <v>0.17699720000000019</v>
      </c>
      <c r="Z22" s="7">
        <f t="shared" si="23"/>
        <v>0.24630049999999981</v>
      </c>
      <c r="AA22" s="8"/>
      <c r="AB22" s="6">
        <f t="shared" si="19"/>
        <v>0.67814400000000008</v>
      </c>
      <c r="AC22" s="7">
        <f t="shared" si="24"/>
        <v>-0.32185599999999992</v>
      </c>
      <c r="AD22" s="7">
        <f t="shared" si="24"/>
        <v>-0.32185599999999992</v>
      </c>
      <c r="AE22" s="7"/>
      <c r="AF22" s="7">
        <f t="shared" si="25"/>
        <v>-0.32185599999999992</v>
      </c>
      <c r="AG22" s="7">
        <f t="shared" si="25"/>
        <v>-1.3218559999999999</v>
      </c>
      <c r="AH22" s="7"/>
      <c r="AI22" s="8"/>
    </row>
    <row r="23" spans="1:35" x14ac:dyDescent="0.25">
      <c r="A23">
        <f t="shared" si="15"/>
        <v>4</v>
      </c>
      <c r="B23" t="str">
        <f t="shared" si="3"/>
        <v>10011</v>
      </c>
      <c r="C23">
        <v>0.4462911</v>
      </c>
      <c r="D23" s="6"/>
      <c r="E23" s="7"/>
      <c r="F23" s="7"/>
      <c r="G23" s="7"/>
      <c r="H23" s="7"/>
      <c r="I23" s="7"/>
      <c r="J23" s="7"/>
      <c r="K23" s="8"/>
      <c r="L23" s="6"/>
      <c r="M23" s="7"/>
      <c r="N23" s="7"/>
      <c r="O23" s="7"/>
      <c r="P23" s="7"/>
      <c r="Q23" s="7"/>
      <c r="R23" s="7"/>
      <c r="S23" s="8"/>
      <c r="T23" s="6">
        <f t="shared" si="12"/>
        <v>2.6541278000000004</v>
      </c>
      <c r="U23" s="7">
        <f t="shared" si="17"/>
        <v>1.7788507000000005</v>
      </c>
      <c r="V23" s="7">
        <f t="shared" si="17"/>
        <v>1.8755649000000005</v>
      </c>
      <c r="W23" s="7">
        <f>W$3+$A23-$C23-W$1+1</f>
        <v>1</v>
      </c>
      <c r="X23" s="7">
        <f t="shared" si="18"/>
        <v>1.9165103999999999</v>
      </c>
      <c r="Y23" s="7">
        <f t="shared" si="23"/>
        <v>1.0525621000000003</v>
      </c>
      <c r="Z23" s="7">
        <f t="shared" si="23"/>
        <v>1.1218653999999999</v>
      </c>
      <c r="AA23" s="8">
        <f>AA$3+$A23-$C23-AA$1+1</f>
        <v>0.32663200000000003</v>
      </c>
      <c r="AB23" s="6">
        <f t="shared" si="19"/>
        <v>1.5537089000000002</v>
      </c>
      <c r="AC23" s="7">
        <f t="shared" si="24"/>
        <v>0.55370890000000017</v>
      </c>
      <c r="AD23" s="7">
        <f t="shared" si="24"/>
        <v>0.55370890000000017</v>
      </c>
      <c r="AE23" s="7">
        <f>AE$3+$A23-$C23-AE$1+1</f>
        <v>-0.44629109999999983</v>
      </c>
      <c r="AF23" s="7">
        <f t="shared" si="25"/>
        <v>0.55370890000000017</v>
      </c>
      <c r="AG23" s="7">
        <f t="shared" si="25"/>
        <v>-0.44629109999999983</v>
      </c>
      <c r="AH23" s="7">
        <f>AH$3+$A23-$C23-AH$1+1</f>
        <v>-0.44629109999999983</v>
      </c>
      <c r="AI23" s="8"/>
    </row>
    <row r="24" spans="1:35" x14ac:dyDescent="0.25">
      <c r="A24">
        <f t="shared" si="15"/>
        <v>3</v>
      </c>
      <c r="B24" t="str">
        <f t="shared" si="3"/>
        <v>10100</v>
      </c>
      <c r="C24">
        <v>0.3628015</v>
      </c>
      <c r="D24" s="6"/>
      <c r="E24" s="7"/>
      <c r="F24" s="7"/>
      <c r="G24" s="7"/>
      <c r="H24" s="7"/>
      <c r="I24" s="7"/>
      <c r="J24" s="7"/>
      <c r="K24" s="8"/>
      <c r="L24" s="6"/>
      <c r="M24" s="7"/>
      <c r="N24" s="7"/>
      <c r="O24" s="7"/>
      <c r="P24" s="7"/>
      <c r="Q24" s="7"/>
      <c r="R24" s="7"/>
      <c r="S24" s="8"/>
      <c r="T24" s="6">
        <f t="shared" si="12"/>
        <v>1.7376174000000004</v>
      </c>
      <c r="U24" s="7">
        <f t="shared" si="17"/>
        <v>0.86234029999999962</v>
      </c>
      <c r="V24" s="7">
        <f t="shared" si="17"/>
        <v>0.9590544999999997</v>
      </c>
      <c r="W24" s="7"/>
      <c r="X24" s="7">
        <f t="shared" si="18"/>
        <v>1</v>
      </c>
      <c r="Y24" s="7">
        <f t="shared" si="23"/>
        <v>0.13605170000000033</v>
      </c>
      <c r="Z24" s="7">
        <f t="shared" si="23"/>
        <v>0.20535499999999995</v>
      </c>
      <c r="AA24" s="8"/>
      <c r="AB24" s="6">
        <f t="shared" si="19"/>
        <v>0.63719850000000022</v>
      </c>
      <c r="AC24" s="7">
        <f t="shared" si="24"/>
        <v>-0.36280149999999978</v>
      </c>
      <c r="AD24" s="7">
        <f t="shared" si="24"/>
        <v>-0.36280149999999978</v>
      </c>
      <c r="AE24" s="7"/>
      <c r="AF24" s="7">
        <f t="shared" si="25"/>
        <v>-0.36280149999999978</v>
      </c>
      <c r="AG24" s="7">
        <f t="shared" si="25"/>
        <v>-1.3628014999999998</v>
      </c>
      <c r="AH24" s="7"/>
      <c r="AI24" s="8"/>
    </row>
    <row r="25" spans="1:35" x14ac:dyDescent="0.25">
      <c r="A25">
        <f t="shared" si="15"/>
        <v>4</v>
      </c>
      <c r="B25" t="str">
        <f t="shared" si="3"/>
        <v>10101</v>
      </c>
      <c r="C25">
        <v>0.4988532</v>
      </c>
      <c r="D25" s="6"/>
      <c r="E25" s="7"/>
      <c r="F25" s="7"/>
      <c r="G25" s="7"/>
      <c r="H25" s="7"/>
      <c r="I25" s="7"/>
      <c r="J25" s="7"/>
      <c r="K25" s="8"/>
      <c r="L25" s="6"/>
      <c r="M25" s="7"/>
      <c r="N25" s="7"/>
      <c r="O25" s="7"/>
      <c r="P25" s="7"/>
      <c r="Q25" s="7"/>
      <c r="R25" s="7"/>
      <c r="S25" s="8"/>
      <c r="T25" s="6">
        <f t="shared" ref="T25:AI27" si="26">T$3+$A25-$C25-T$1+1</f>
        <v>2.6015657000000001</v>
      </c>
      <c r="U25" s="7">
        <f t="shared" si="26"/>
        <v>1.7262886000000002</v>
      </c>
      <c r="V25" s="7">
        <f t="shared" si="26"/>
        <v>1.8230028000000003</v>
      </c>
      <c r="W25" s="7">
        <f t="shared" si="26"/>
        <v>0.94743789999999972</v>
      </c>
      <c r="X25" s="7">
        <f t="shared" si="26"/>
        <v>1.8639482999999997</v>
      </c>
      <c r="Y25" s="7">
        <f t="shared" si="26"/>
        <v>1</v>
      </c>
      <c r="Z25" s="7">
        <f t="shared" si="26"/>
        <v>1.0693032999999996</v>
      </c>
      <c r="AA25" s="8">
        <f t="shared" si="26"/>
        <v>0.27406989999999976</v>
      </c>
      <c r="AB25" s="6">
        <f t="shared" si="26"/>
        <v>1.5011467999999999</v>
      </c>
      <c r="AC25" s="7">
        <f t="shared" si="26"/>
        <v>0.50114679999999989</v>
      </c>
      <c r="AD25" s="7">
        <f t="shared" si="26"/>
        <v>0.50114679999999989</v>
      </c>
      <c r="AE25" s="7">
        <f t="shared" si="26"/>
        <v>-0.49885320000000011</v>
      </c>
      <c r="AF25" s="7">
        <f t="shared" si="26"/>
        <v>0.50114679999999989</v>
      </c>
      <c r="AG25" s="7">
        <f t="shared" si="26"/>
        <v>-0.49885320000000011</v>
      </c>
      <c r="AH25" s="7">
        <f t="shared" si="26"/>
        <v>-0.49885320000000011</v>
      </c>
      <c r="AI25" s="8"/>
    </row>
    <row r="26" spans="1:35" x14ac:dyDescent="0.25">
      <c r="A26">
        <f t="shared" si="15"/>
        <v>4</v>
      </c>
      <c r="B26" t="str">
        <f t="shared" si="3"/>
        <v>10110</v>
      </c>
      <c r="C26">
        <v>0.56815649999999995</v>
      </c>
      <c r="D26" s="6"/>
      <c r="E26" s="7"/>
      <c r="F26" s="7"/>
      <c r="G26" s="7"/>
      <c r="H26" s="7"/>
      <c r="I26" s="7"/>
      <c r="J26" s="7"/>
      <c r="K26" s="8"/>
      <c r="L26" s="6"/>
      <c r="M26" s="7"/>
      <c r="N26" s="7"/>
      <c r="O26" s="7"/>
      <c r="P26" s="7"/>
      <c r="Q26" s="7"/>
      <c r="R26" s="7"/>
      <c r="S26" s="8"/>
      <c r="T26" s="6">
        <f t="shared" si="26"/>
        <v>2.5322624000000005</v>
      </c>
      <c r="U26" s="7">
        <f t="shared" si="26"/>
        <v>1.6569853000000005</v>
      </c>
      <c r="V26" s="7">
        <f t="shared" si="26"/>
        <v>1.7536995000000006</v>
      </c>
      <c r="W26" s="7">
        <f t="shared" si="26"/>
        <v>0.8781346000000001</v>
      </c>
      <c r="X26" s="7">
        <f t="shared" si="26"/>
        <v>1.794645</v>
      </c>
      <c r="Y26" s="7">
        <f t="shared" si="26"/>
        <v>0.93069670000000038</v>
      </c>
      <c r="Z26" s="7">
        <f t="shared" si="26"/>
        <v>1</v>
      </c>
      <c r="AA26" s="8">
        <f t="shared" si="26"/>
        <v>0.20476660000000013</v>
      </c>
      <c r="AB26" s="6">
        <f t="shared" si="26"/>
        <v>1.4318435000000003</v>
      </c>
      <c r="AC26" s="7">
        <f t="shared" si="26"/>
        <v>0.43184350000000027</v>
      </c>
      <c r="AD26" s="7">
        <f t="shared" si="26"/>
        <v>0.43184350000000027</v>
      </c>
      <c r="AE26" s="7">
        <f t="shared" si="26"/>
        <v>-0.56815649999999973</v>
      </c>
      <c r="AF26" s="7">
        <f t="shared" si="26"/>
        <v>0.43184350000000027</v>
      </c>
      <c r="AG26" s="7">
        <f t="shared" si="26"/>
        <v>-0.56815649999999973</v>
      </c>
      <c r="AH26" s="7">
        <f t="shared" si="26"/>
        <v>-0.56815649999999973</v>
      </c>
      <c r="AI26" s="8"/>
    </row>
    <row r="27" spans="1:35" x14ac:dyDescent="0.25">
      <c r="A27">
        <f t="shared" si="15"/>
        <v>5</v>
      </c>
      <c r="B27" t="str">
        <f t="shared" si="3"/>
        <v>10111</v>
      </c>
      <c r="C27">
        <v>0.77292309999999997</v>
      </c>
      <c r="D27" s="9"/>
      <c r="E27" s="10"/>
      <c r="F27" s="10"/>
      <c r="G27" s="10"/>
      <c r="H27" s="10"/>
      <c r="I27" s="10"/>
      <c r="J27" s="10"/>
      <c r="K27" s="11"/>
      <c r="L27" s="9"/>
      <c r="M27" s="10"/>
      <c r="N27" s="10"/>
      <c r="O27" s="10"/>
      <c r="P27" s="10"/>
      <c r="Q27" s="10"/>
      <c r="R27" s="10"/>
      <c r="S27" s="11"/>
      <c r="T27" s="9">
        <f t="shared" si="26"/>
        <v>3.3274958000000003</v>
      </c>
      <c r="U27" s="10">
        <f t="shared" si="26"/>
        <v>2.4522187000000004</v>
      </c>
      <c r="V27" s="10">
        <f t="shared" si="26"/>
        <v>2.5489329000000005</v>
      </c>
      <c r="W27" s="10">
        <f t="shared" si="26"/>
        <v>1.673368</v>
      </c>
      <c r="X27" s="10">
        <f t="shared" si="26"/>
        <v>2.5898783999999999</v>
      </c>
      <c r="Y27" s="10">
        <f t="shared" si="26"/>
        <v>1.7259301000000002</v>
      </c>
      <c r="Z27" s="10">
        <f t="shared" si="26"/>
        <v>1.7952333999999999</v>
      </c>
      <c r="AA27" s="11">
        <f t="shared" si="26"/>
        <v>1</v>
      </c>
      <c r="AB27" s="9">
        <f t="shared" si="26"/>
        <v>2.2270769000000001</v>
      </c>
      <c r="AC27" s="10">
        <f t="shared" si="26"/>
        <v>1.2270769000000001</v>
      </c>
      <c r="AD27" s="10">
        <f t="shared" si="26"/>
        <v>1.2270769000000001</v>
      </c>
      <c r="AE27" s="10">
        <f t="shared" si="26"/>
        <v>0.22707690000000014</v>
      </c>
      <c r="AF27" s="10">
        <f t="shared" si="26"/>
        <v>1.2270769000000001</v>
      </c>
      <c r="AG27" s="10">
        <f t="shared" si="26"/>
        <v>0.22707690000000014</v>
      </c>
      <c r="AH27" s="10">
        <f t="shared" si="26"/>
        <v>0.22707690000000014</v>
      </c>
      <c r="AI27" s="11">
        <f t="shared" si="26"/>
        <v>-0.77292309999999986</v>
      </c>
    </row>
  </sheetData>
  <conditionalFormatting sqref="D4:AI2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">
      <colorScale>
        <cfvo type="min"/>
        <cfvo type="num" val="0"/>
        <cfvo type="max"/>
        <color rgb="FFF8696B"/>
        <color rgb="FFFFEB84"/>
        <color rgb="FF63BE7B"/>
      </colorScale>
    </cfRule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7"/>
  <sheetViews>
    <sheetView topLeftCell="M1" zoomScale="60" zoomScaleNormal="60" workbookViewId="0">
      <selection activeCell="AI27" sqref="AI27"/>
    </sheetView>
  </sheetViews>
  <sheetFormatPr defaultRowHeight="15" x14ac:dyDescent="0.25"/>
  <cols>
    <col min="1" max="1" width="2.5703125" bestFit="1" customWidth="1"/>
    <col min="2" max="2" width="7.42578125" bestFit="1" customWidth="1"/>
    <col min="3" max="11" width="12.42578125" bestFit="1" customWidth="1"/>
    <col min="12" max="35" width="13.42578125" bestFit="1" customWidth="1"/>
  </cols>
  <sheetData>
    <row r="1" spans="1:35" x14ac:dyDescent="0.25">
      <c r="D1">
        <v>0</v>
      </c>
      <c r="E1">
        <v>1</v>
      </c>
      <c r="F1">
        <v>1</v>
      </c>
      <c r="G1">
        <v>2</v>
      </c>
      <c r="H1">
        <v>1</v>
      </c>
      <c r="I1">
        <v>2</v>
      </c>
      <c r="J1">
        <v>2</v>
      </c>
      <c r="K1">
        <v>3</v>
      </c>
      <c r="L1">
        <f t="shared" ref="L1:AI1" si="0">D1+1</f>
        <v>1</v>
      </c>
      <c r="M1">
        <f t="shared" si="0"/>
        <v>2</v>
      </c>
      <c r="N1">
        <f t="shared" si="0"/>
        <v>2</v>
      </c>
      <c r="O1">
        <f t="shared" si="0"/>
        <v>3</v>
      </c>
      <c r="P1">
        <f t="shared" si="0"/>
        <v>2</v>
      </c>
      <c r="Q1">
        <f t="shared" si="0"/>
        <v>3</v>
      </c>
      <c r="R1">
        <f t="shared" si="0"/>
        <v>3</v>
      </c>
      <c r="S1">
        <f t="shared" si="0"/>
        <v>4</v>
      </c>
      <c r="T1">
        <f t="shared" si="0"/>
        <v>2</v>
      </c>
      <c r="U1">
        <f t="shared" si="0"/>
        <v>3</v>
      </c>
      <c r="V1">
        <f t="shared" si="0"/>
        <v>3</v>
      </c>
      <c r="W1">
        <f t="shared" si="0"/>
        <v>4</v>
      </c>
      <c r="X1">
        <f t="shared" si="0"/>
        <v>3</v>
      </c>
      <c r="Y1">
        <f t="shared" si="0"/>
        <v>4</v>
      </c>
      <c r="Z1">
        <f t="shared" si="0"/>
        <v>4</v>
      </c>
      <c r="AA1">
        <f t="shared" si="0"/>
        <v>5</v>
      </c>
      <c r="AB1">
        <f t="shared" si="0"/>
        <v>3</v>
      </c>
      <c r="AC1">
        <f t="shared" si="0"/>
        <v>4</v>
      </c>
      <c r="AD1">
        <f t="shared" si="0"/>
        <v>4</v>
      </c>
      <c r="AE1">
        <f t="shared" si="0"/>
        <v>5</v>
      </c>
      <c r="AF1">
        <f t="shared" si="0"/>
        <v>4</v>
      </c>
      <c r="AG1">
        <f t="shared" si="0"/>
        <v>5</v>
      </c>
      <c r="AH1">
        <f t="shared" si="0"/>
        <v>5</v>
      </c>
      <c r="AI1">
        <f t="shared" si="0"/>
        <v>6</v>
      </c>
    </row>
    <row r="2" spans="1:35" x14ac:dyDescent="0.25">
      <c r="D2" t="str">
        <f>DEC2BIN(COLUMN()-4,5)</f>
        <v>00000</v>
      </c>
      <c r="E2" t="str">
        <f t="shared" ref="E2:AI2" si="1">DEC2BIN(COLUMN()-4,5)</f>
        <v>00001</v>
      </c>
      <c r="F2" t="str">
        <f t="shared" si="1"/>
        <v>00010</v>
      </c>
      <c r="G2" t="str">
        <f t="shared" si="1"/>
        <v>00011</v>
      </c>
      <c r="H2" t="str">
        <f t="shared" si="1"/>
        <v>00100</v>
      </c>
      <c r="I2" t="str">
        <f t="shared" si="1"/>
        <v>00101</v>
      </c>
      <c r="J2" t="str">
        <f t="shared" si="1"/>
        <v>00110</v>
      </c>
      <c r="K2" t="str">
        <f t="shared" si="1"/>
        <v>00111</v>
      </c>
      <c r="L2" t="str">
        <f t="shared" si="1"/>
        <v>01000</v>
      </c>
      <c r="M2" t="str">
        <f t="shared" si="1"/>
        <v>01001</v>
      </c>
      <c r="N2" t="str">
        <f t="shared" si="1"/>
        <v>01010</v>
      </c>
      <c r="O2" t="str">
        <f t="shared" si="1"/>
        <v>01011</v>
      </c>
      <c r="P2" t="str">
        <f t="shared" si="1"/>
        <v>01100</v>
      </c>
      <c r="Q2" t="str">
        <f t="shared" si="1"/>
        <v>01101</v>
      </c>
      <c r="R2" t="str">
        <f t="shared" si="1"/>
        <v>01110</v>
      </c>
      <c r="S2" t="str">
        <f t="shared" si="1"/>
        <v>01111</v>
      </c>
      <c r="T2" t="str">
        <f t="shared" si="1"/>
        <v>10000</v>
      </c>
      <c r="U2" t="str">
        <f t="shared" si="1"/>
        <v>10001</v>
      </c>
      <c r="V2" t="str">
        <f t="shared" si="1"/>
        <v>10010</v>
      </c>
      <c r="W2" t="str">
        <f t="shared" si="1"/>
        <v>10011</v>
      </c>
      <c r="X2" t="str">
        <f t="shared" si="1"/>
        <v>10100</v>
      </c>
      <c r="Y2" t="str">
        <f t="shared" si="1"/>
        <v>10101</v>
      </c>
      <c r="Z2" t="str">
        <f t="shared" si="1"/>
        <v>10110</v>
      </c>
      <c r="AA2" t="str">
        <f t="shared" si="1"/>
        <v>10111</v>
      </c>
      <c r="AB2" t="str">
        <f t="shared" si="1"/>
        <v>11000</v>
      </c>
      <c r="AC2" t="str">
        <f t="shared" si="1"/>
        <v>11001</v>
      </c>
      <c r="AD2" t="str">
        <f t="shared" si="1"/>
        <v>11010</v>
      </c>
      <c r="AE2" t="str">
        <f t="shared" si="1"/>
        <v>11011</v>
      </c>
      <c r="AF2" t="str">
        <f t="shared" si="1"/>
        <v>11100</v>
      </c>
      <c r="AG2" t="str">
        <f t="shared" si="1"/>
        <v>11101</v>
      </c>
      <c r="AH2" t="str">
        <f t="shared" si="1"/>
        <v>11110</v>
      </c>
      <c r="AI2" t="str">
        <f t="shared" si="1"/>
        <v>11111</v>
      </c>
    </row>
    <row r="3" spans="1:35" x14ac:dyDescent="0.25">
      <c r="D3">
        <v>0.52098699999999998</v>
      </c>
      <c r="E3">
        <v>0.92254460000000005</v>
      </c>
      <c r="F3">
        <v>1.1506003</v>
      </c>
      <c r="G3">
        <v>1.5732567</v>
      </c>
      <c r="H3">
        <v>1.4004983</v>
      </c>
      <c r="I3">
        <v>1.8090759000000001</v>
      </c>
      <c r="J3">
        <v>2.0507569000000001</v>
      </c>
      <c r="K3">
        <v>2.4682759000000001</v>
      </c>
      <c r="L3">
        <v>0.27081149999999998</v>
      </c>
      <c r="M3">
        <v>0.53638300000000005</v>
      </c>
      <c r="N3">
        <v>0.68765379999999998</v>
      </c>
      <c r="O3">
        <v>0.95237859999999996</v>
      </c>
      <c r="P3">
        <v>0.95960800000000002</v>
      </c>
      <c r="Q3">
        <v>1.1861885000000001</v>
      </c>
      <c r="R3">
        <v>1.3796394999999999</v>
      </c>
      <c r="S3">
        <v>1.6885375</v>
      </c>
      <c r="T3">
        <v>0.1059898</v>
      </c>
      <c r="U3">
        <v>0.23635349999999999</v>
      </c>
      <c r="V3">
        <v>0.32526660000000002</v>
      </c>
      <c r="W3">
        <v>0.4659218</v>
      </c>
      <c r="X3">
        <v>0.38206030000000002</v>
      </c>
      <c r="Y3">
        <v>0.51728010000000002</v>
      </c>
      <c r="Z3">
        <v>0.59664260000000002</v>
      </c>
      <c r="AA3">
        <v>0.83634830000000004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>
        <v>0</v>
      </c>
      <c r="B4" t="str">
        <f>DEC2BIN(ROW()-4,5)</f>
        <v>00000</v>
      </c>
      <c r="C4">
        <v>0.52098699999999998</v>
      </c>
      <c r="D4" s="3">
        <f t="shared" ref="D4:F5" si="2">D$3+$A4-$C4-D$1+1</f>
        <v>1</v>
      </c>
      <c r="E4" s="4">
        <f t="shared" si="2"/>
        <v>0.40155760000000007</v>
      </c>
      <c r="F4" s="4">
        <f t="shared" si="2"/>
        <v>0.62961330000000004</v>
      </c>
      <c r="G4" s="4"/>
      <c r="H4" s="4">
        <f>H$3+$A4-$C4-H$1+1</f>
        <v>0.8795113</v>
      </c>
      <c r="I4" s="4"/>
      <c r="J4" s="4"/>
      <c r="K4" s="5"/>
      <c r="L4" s="3">
        <f>L$3+$A4-$C4-L$1+1</f>
        <v>-0.25017550000000011</v>
      </c>
      <c r="M4" s="4"/>
      <c r="N4" s="4"/>
      <c r="O4" s="4"/>
      <c r="P4" s="4"/>
      <c r="Q4" s="4"/>
      <c r="R4" s="4"/>
      <c r="S4" s="5"/>
      <c r="T4" s="3"/>
      <c r="U4" s="4"/>
      <c r="V4" s="4"/>
      <c r="W4" s="4"/>
      <c r="X4" s="4"/>
      <c r="Y4" s="4"/>
      <c r="Z4" s="4"/>
      <c r="AA4" s="5"/>
      <c r="AB4" s="3"/>
      <c r="AC4" s="4"/>
      <c r="AD4" s="4"/>
      <c r="AE4" s="4"/>
      <c r="AF4" s="4"/>
      <c r="AG4" s="4"/>
      <c r="AH4" s="4"/>
      <c r="AI4" s="5"/>
    </row>
    <row r="5" spans="1:35" x14ac:dyDescent="0.25">
      <c r="A5">
        <v>1</v>
      </c>
      <c r="B5" t="str">
        <f t="shared" ref="B5:B27" si="3">DEC2BIN(ROW()-4,5)</f>
        <v>00001</v>
      </c>
      <c r="C5">
        <v>0.92254460000000005</v>
      </c>
      <c r="D5" s="6">
        <f t="shared" si="2"/>
        <v>1.5984423999999997</v>
      </c>
      <c r="E5" s="7">
        <f t="shared" si="2"/>
        <v>1</v>
      </c>
      <c r="F5" s="7">
        <f t="shared" si="2"/>
        <v>1.2280556999999996</v>
      </c>
      <c r="G5" s="7">
        <f>G$3+$A5-$C5-G$1+1</f>
        <v>0.65071209999999979</v>
      </c>
      <c r="H5" s="7">
        <f>H$3+$A5-$C5-H$1+1</f>
        <v>1.4779536999999996</v>
      </c>
      <c r="I5" s="7">
        <f>I$3+$A5-$C5-I$1+1</f>
        <v>0.88653129999999969</v>
      </c>
      <c r="J5" s="7">
        <f>J$3+$A5-$C5-J$1+1</f>
        <v>1.1282122999999999</v>
      </c>
      <c r="K5" s="8"/>
      <c r="L5" s="6">
        <f>L$3+$A5-$C5-L$1+1</f>
        <v>0.34826689999999993</v>
      </c>
      <c r="M5" s="7">
        <f>M$3+$A5-$C5-M$1+1</f>
        <v>-0.38616159999999988</v>
      </c>
      <c r="N5" s="7">
        <f>N$3+$A5-$C5-N$1+1</f>
        <v>-0.23489080000000007</v>
      </c>
      <c r="O5" s="7"/>
      <c r="P5" s="7">
        <f>P$3+$A5-$C5-P$1+1</f>
        <v>3.706340000000008E-2</v>
      </c>
      <c r="Q5" s="7"/>
      <c r="R5" s="7"/>
      <c r="S5" s="8"/>
      <c r="T5" s="6">
        <f>T$3+$A5-$C5-T$1+1</f>
        <v>-0.81655480000000003</v>
      </c>
      <c r="U5" s="7"/>
      <c r="V5" s="7"/>
      <c r="W5" s="7"/>
      <c r="X5" s="7"/>
      <c r="Y5" s="7"/>
      <c r="Z5" s="7"/>
      <c r="AA5" s="8"/>
      <c r="AB5" s="6"/>
      <c r="AC5" s="7"/>
      <c r="AD5" s="7"/>
      <c r="AE5" s="7"/>
      <c r="AF5" s="7"/>
      <c r="AG5" s="7"/>
      <c r="AH5" s="7"/>
      <c r="AI5" s="8"/>
    </row>
    <row r="6" spans="1:35" x14ac:dyDescent="0.25">
      <c r="A6">
        <v>1</v>
      </c>
      <c r="B6" t="str">
        <f t="shared" si="3"/>
        <v>00010</v>
      </c>
      <c r="C6">
        <v>1.1506003</v>
      </c>
      <c r="D6" s="6">
        <f t="shared" ref="D6:D11" si="4">D$3+$A6-$C6-D$1+1</f>
        <v>1.3703866999999998</v>
      </c>
      <c r="E6" s="7">
        <f t="shared" ref="E6:P6" si="5">E$3+$A6-$C6-E$1+1</f>
        <v>0.77194430000000014</v>
      </c>
      <c r="F6" s="7">
        <f t="shared" si="5"/>
        <v>0.99999999999999978</v>
      </c>
      <c r="G6" s="7">
        <f t="shared" si="5"/>
        <v>0.42265639999999993</v>
      </c>
      <c r="H6" s="7">
        <f t="shared" si="5"/>
        <v>1.2498979999999997</v>
      </c>
      <c r="I6" s="7">
        <f t="shared" si="5"/>
        <v>0.65847559999999983</v>
      </c>
      <c r="J6" s="7">
        <f t="shared" si="5"/>
        <v>0.90015660000000008</v>
      </c>
      <c r="K6" s="8"/>
      <c r="L6" s="6">
        <f t="shared" si="5"/>
        <v>0.12021119999999996</v>
      </c>
      <c r="M6" s="7">
        <f t="shared" si="5"/>
        <v>-0.61421729999999997</v>
      </c>
      <c r="N6" s="7">
        <f t="shared" si="5"/>
        <v>-0.46294649999999993</v>
      </c>
      <c r="O6" s="7"/>
      <c r="P6" s="7">
        <f t="shared" si="5"/>
        <v>-0.1909923</v>
      </c>
      <c r="Q6" s="7"/>
      <c r="R6" s="7"/>
      <c r="S6" s="8"/>
      <c r="T6" s="6">
        <f t="shared" ref="T6" si="6">T$3+$A6-$C6-T$1+1</f>
        <v>-1.0446105000000001</v>
      </c>
      <c r="U6" s="7"/>
      <c r="V6" s="7"/>
      <c r="W6" s="7"/>
      <c r="X6" s="7"/>
      <c r="Y6" s="7"/>
      <c r="Z6" s="7"/>
      <c r="AA6" s="8"/>
      <c r="AB6" s="6"/>
      <c r="AC6" s="7"/>
      <c r="AD6" s="7"/>
      <c r="AE6" s="7"/>
      <c r="AF6" s="7"/>
      <c r="AG6" s="7"/>
      <c r="AH6" s="7"/>
      <c r="AI6" s="8"/>
    </row>
    <row r="7" spans="1:35" x14ac:dyDescent="0.25">
      <c r="A7">
        <v>2</v>
      </c>
      <c r="B7" t="str">
        <f t="shared" si="3"/>
        <v>00011</v>
      </c>
      <c r="C7">
        <v>1.5732567</v>
      </c>
      <c r="D7" s="6">
        <f t="shared" si="4"/>
        <v>1.9477302999999999</v>
      </c>
      <c r="E7" s="7">
        <f t="shared" ref="E7:R7" si="7">E$3+$A7-$C7-E$1+1</f>
        <v>1.3492879000000002</v>
      </c>
      <c r="F7" s="7">
        <f t="shared" si="7"/>
        <v>1.5773435999999998</v>
      </c>
      <c r="G7" s="7">
        <f t="shared" si="7"/>
        <v>1</v>
      </c>
      <c r="H7" s="7">
        <f t="shared" si="7"/>
        <v>1.8272415999999998</v>
      </c>
      <c r="I7" s="7">
        <f t="shared" si="7"/>
        <v>1.2358191999999999</v>
      </c>
      <c r="J7" s="7">
        <f t="shared" si="7"/>
        <v>1.4775001999999997</v>
      </c>
      <c r="K7" s="8">
        <f t="shared" si="7"/>
        <v>0.89501920000000013</v>
      </c>
      <c r="L7" s="6">
        <f t="shared" si="7"/>
        <v>0.69755479999999981</v>
      </c>
      <c r="M7" s="7">
        <f t="shared" si="7"/>
        <v>-3.687370000000012E-2</v>
      </c>
      <c r="N7" s="7">
        <f t="shared" si="7"/>
        <v>0.11439710000000014</v>
      </c>
      <c r="O7" s="7">
        <f t="shared" si="7"/>
        <v>-0.6208781000000001</v>
      </c>
      <c r="P7" s="7">
        <f t="shared" si="7"/>
        <v>0.38635130000000029</v>
      </c>
      <c r="Q7" s="7">
        <f t="shared" si="7"/>
        <v>-0.38706819999999986</v>
      </c>
      <c r="R7" s="7">
        <f t="shared" si="7"/>
        <v>-0.19361720000000027</v>
      </c>
      <c r="S7" s="8"/>
      <c r="T7" s="6">
        <f>T$3+$A7-$C7-T$1+1</f>
        <v>-0.46726689999999982</v>
      </c>
      <c r="U7" s="7">
        <f>U$3+$A7-$C7-U$1+1</f>
        <v>-1.3369032000000001</v>
      </c>
      <c r="V7" s="7">
        <f>V$3+$A7-$C7-V$1+1</f>
        <v>-1.2479901</v>
      </c>
      <c r="W7" s="7"/>
      <c r="X7" s="7">
        <f>X$3+$A7-$C7-X$1+1</f>
        <v>-1.1911963999999999</v>
      </c>
      <c r="Y7" s="7"/>
      <c r="Z7" s="7"/>
      <c r="AA7" s="8"/>
      <c r="AB7" s="6">
        <f>AB$3+$A7-$C7-AB$1+1</f>
        <v>-1.5732567</v>
      </c>
      <c r="AC7" s="7"/>
      <c r="AD7" s="7"/>
      <c r="AE7" s="7"/>
      <c r="AF7" s="7"/>
      <c r="AG7" s="7"/>
      <c r="AH7" s="7"/>
      <c r="AI7" s="8"/>
    </row>
    <row r="8" spans="1:35" x14ac:dyDescent="0.25">
      <c r="A8">
        <v>1</v>
      </c>
      <c r="B8" t="str">
        <f t="shared" si="3"/>
        <v>00100</v>
      </c>
      <c r="C8">
        <v>1.4004983</v>
      </c>
      <c r="D8" s="6">
        <f t="shared" si="4"/>
        <v>1.1204886999999999</v>
      </c>
      <c r="E8" s="7">
        <f t="shared" ref="E8:F11" si="8">E$3+$A8-$C8-E$1+1</f>
        <v>0.52204630000000019</v>
      </c>
      <c r="F8" s="7">
        <f t="shared" si="8"/>
        <v>0.75010199999999982</v>
      </c>
      <c r="G8" s="7"/>
      <c r="H8" s="7">
        <f t="shared" ref="H8:J11" si="9">H$3+$A8-$C8-H$1+1</f>
        <v>0.99999999999999978</v>
      </c>
      <c r="I8" s="7">
        <f t="shared" si="9"/>
        <v>0.40857759999999987</v>
      </c>
      <c r="J8" s="7">
        <f t="shared" si="9"/>
        <v>0.65025860000000013</v>
      </c>
      <c r="K8" s="8"/>
      <c r="L8" s="6">
        <f t="shared" ref="L8:N19" si="10">L$3+$A8-$C8-L$1+1</f>
        <v>-0.12968679999999999</v>
      </c>
      <c r="M8" s="7">
        <f t="shared" si="10"/>
        <v>-0.86411529999999992</v>
      </c>
      <c r="N8" s="7">
        <f t="shared" si="10"/>
        <v>-0.71284449999999988</v>
      </c>
      <c r="O8" s="7"/>
      <c r="P8" s="7">
        <f t="shared" ref="P8:P19" si="11">P$3+$A8-$C8-P$1+1</f>
        <v>-0.44089029999999996</v>
      </c>
      <c r="Q8" s="7"/>
      <c r="R8" s="7"/>
      <c r="S8" s="8"/>
      <c r="T8" s="6">
        <f t="shared" ref="T8:T24" si="12">T$3+$A8-$C8-T$1+1</f>
        <v>-1.2945085000000001</v>
      </c>
      <c r="U8" s="7"/>
      <c r="V8" s="7"/>
      <c r="W8" s="7"/>
      <c r="X8" s="7"/>
      <c r="Y8" s="7"/>
      <c r="Z8" s="7"/>
      <c r="AA8" s="8"/>
      <c r="AB8" s="6"/>
      <c r="AC8" s="7"/>
      <c r="AD8" s="7"/>
      <c r="AE8" s="7"/>
      <c r="AF8" s="7"/>
      <c r="AG8" s="7"/>
      <c r="AH8" s="7"/>
      <c r="AI8" s="8"/>
    </row>
    <row r="9" spans="1:35" x14ac:dyDescent="0.25">
      <c r="A9">
        <v>2</v>
      </c>
      <c r="B9" t="str">
        <f t="shared" si="3"/>
        <v>00101</v>
      </c>
      <c r="C9">
        <v>1.8090759000000001</v>
      </c>
      <c r="D9" s="6">
        <f t="shared" si="4"/>
        <v>1.7119110999999998</v>
      </c>
      <c r="E9" s="7">
        <f t="shared" si="8"/>
        <v>1.1134687000000001</v>
      </c>
      <c r="F9" s="7">
        <f t="shared" si="8"/>
        <v>1.3415243999999997</v>
      </c>
      <c r="G9" s="7">
        <f>G$3+$A9-$C9-G$1+1</f>
        <v>0.76418079999999988</v>
      </c>
      <c r="H9" s="7">
        <f t="shared" si="9"/>
        <v>1.5914223999999997</v>
      </c>
      <c r="I9" s="7">
        <f t="shared" si="9"/>
        <v>0.99999999999999978</v>
      </c>
      <c r="J9" s="7">
        <f t="shared" si="9"/>
        <v>1.2416809999999998</v>
      </c>
      <c r="K9" s="8">
        <f>K$3+$A9-$C9-K$1+1</f>
        <v>0.65920000000000023</v>
      </c>
      <c r="L9" s="6">
        <f t="shared" si="10"/>
        <v>0.46173559999999969</v>
      </c>
      <c r="M9" s="7">
        <f t="shared" si="10"/>
        <v>-0.27269290000000024</v>
      </c>
      <c r="N9" s="7">
        <f t="shared" si="10"/>
        <v>-0.12142209999999998</v>
      </c>
      <c r="O9" s="7">
        <f>O$3+$A9-$C9-O$1+1</f>
        <v>-0.85669730000000022</v>
      </c>
      <c r="P9" s="7">
        <f t="shared" si="11"/>
        <v>0.15053210000000017</v>
      </c>
      <c r="Q9" s="7">
        <f t="shared" ref="Q9:R11" si="13">Q$3+$A9-$C9-Q$1+1</f>
        <v>-0.62288739999999998</v>
      </c>
      <c r="R9" s="7">
        <f t="shared" si="13"/>
        <v>-0.42943640000000038</v>
      </c>
      <c r="S9" s="8"/>
      <c r="T9" s="6">
        <f t="shared" si="12"/>
        <v>-0.70308609999999994</v>
      </c>
      <c r="U9" s="7">
        <f t="shared" ref="U9:V11" si="14">U$3+$A9-$C9-U$1+1</f>
        <v>-1.5727224</v>
      </c>
      <c r="V9" s="7">
        <f t="shared" si="14"/>
        <v>-1.4838092999999999</v>
      </c>
      <c r="W9" s="7"/>
      <c r="X9" s="7">
        <f>X$3+$A9-$C9-X$1+1</f>
        <v>-1.4270155999999998</v>
      </c>
      <c r="Y9" s="7"/>
      <c r="Z9" s="7"/>
      <c r="AA9" s="8"/>
      <c r="AB9" s="6">
        <f>AB$3+$A9-$C9-AB$1+1</f>
        <v>-1.8090758999999998</v>
      </c>
      <c r="AC9" s="7"/>
      <c r="AD9" s="7"/>
      <c r="AE9" s="7"/>
      <c r="AF9" s="7"/>
      <c r="AG9" s="7"/>
      <c r="AH9" s="7"/>
      <c r="AI9" s="8"/>
    </row>
    <row r="10" spans="1:35" x14ac:dyDescent="0.25">
      <c r="A10">
        <v>2</v>
      </c>
      <c r="B10" t="str">
        <f t="shared" si="3"/>
        <v>00110</v>
      </c>
      <c r="C10">
        <v>2.0507569000000001</v>
      </c>
      <c r="D10" s="6">
        <f t="shared" si="4"/>
        <v>1.4702300999999998</v>
      </c>
      <c r="E10" s="7">
        <f t="shared" si="8"/>
        <v>0.87178770000000005</v>
      </c>
      <c r="F10" s="7">
        <f t="shared" si="8"/>
        <v>1.0998433999999997</v>
      </c>
      <c r="G10" s="7">
        <f>G$3+$A10-$C10-G$1+1</f>
        <v>0.52249979999999985</v>
      </c>
      <c r="H10" s="7">
        <f t="shared" si="9"/>
        <v>1.3497413999999996</v>
      </c>
      <c r="I10" s="7">
        <f t="shared" si="9"/>
        <v>0.75831899999999974</v>
      </c>
      <c r="J10" s="7">
        <f t="shared" si="9"/>
        <v>0.99999999999999956</v>
      </c>
      <c r="K10" s="8">
        <f>K$3+$A10-$C10-K$1+1</f>
        <v>0.41751899999999997</v>
      </c>
      <c r="L10" s="6">
        <f t="shared" si="10"/>
        <v>0.22005459999999966</v>
      </c>
      <c r="M10" s="7">
        <f t="shared" si="10"/>
        <v>-0.51437390000000027</v>
      </c>
      <c r="N10" s="7">
        <f t="shared" si="10"/>
        <v>-0.36310310000000001</v>
      </c>
      <c r="O10" s="7">
        <f>O$3+$A10-$C10-O$1+1</f>
        <v>-1.0983783000000003</v>
      </c>
      <c r="P10" s="7">
        <f t="shared" si="11"/>
        <v>-9.1148899999999866E-2</v>
      </c>
      <c r="Q10" s="7">
        <f t="shared" si="13"/>
        <v>-0.86456840000000001</v>
      </c>
      <c r="R10" s="7">
        <f t="shared" si="13"/>
        <v>-0.67111740000000042</v>
      </c>
      <c r="S10" s="8"/>
      <c r="T10" s="6">
        <f t="shared" si="12"/>
        <v>-0.94476709999999997</v>
      </c>
      <c r="U10" s="7">
        <f t="shared" si="14"/>
        <v>-1.8144034000000002</v>
      </c>
      <c r="V10" s="7">
        <f t="shared" si="14"/>
        <v>-1.7254903000000001</v>
      </c>
      <c r="W10" s="7"/>
      <c r="X10" s="7">
        <f>X$3+$A10-$C10-X$1+1</f>
        <v>-1.6686966000000001</v>
      </c>
      <c r="Y10" s="7"/>
      <c r="Z10" s="7"/>
      <c r="AA10" s="8"/>
      <c r="AB10" s="6">
        <f>AB$3+$A10-$C10-AB$1+1</f>
        <v>-2.0507569000000001</v>
      </c>
      <c r="AC10" s="7"/>
      <c r="AD10" s="7"/>
      <c r="AE10" s="7"/>
      <c r="AF10" s="7"/>
      <c r="AG10" s="7"/>
      <c r="AH10" s="7"/>
      <c r="AI10" s="8"/>
    </row>
    <row r="11" spans="1:35" x14ac:dyDescent="0.25">
      <c r="A11">
        <v>3</v>
      </c>
      <c r="B11" t="str">
        <f t="shared" si="3"/>
        <v>00111</v>
      </c>
      <c r="C11">
        <v>2.4682759000000001</v>
      </c>
      <c r="D11" s="9">
        <f t="shared" si="4"/>
        <v>2.0527110999999998</v>
      </c>
      <c r="E11" s="10">
        <f t="shared" si="8"/>
        <v>1.4542687000000001</v>
      </c>
      <c r="F11" s="10">
        <f t="shared" si="8"/>
        <v>1.6823243999999997</v>
      </c>
      <c r="G11" s="10">
        <f>G$3+$A11-$C11-G$1+1</f>
        <v>1.1049807999999999</v>
      </c>
      <c r="H11" s="10">
        <f t="shared" si="9"/>
        <v>1.9322223999999997</v>
      </c>
      <c r="I11" s="10">
        <f t="shared" si="9"/>
        <v>1.3407999999999998</v>
      </c>
      <c r="J11" s="10">
        <f t="shared" si="9"/>
        <v>1.5824809999999996</v>
      </c>
      <c r="K11" s="11">
        <f>K$3+$A11-$C11-K$1+1</f>
        <v>1</v>
      </c>
      <c r="L11" s="9">
        <f t="shared" si="10"/>
        <v>0.80253559999999968</v>
      </c>
      <c r="M11" s="10">
        <f t="shared" si="10"/>
        <v>6.8107099999999754E-2</v>
      </c>
      <c r="N11" s="10">
        <f t="shared" si="10"/>
        <v>0.21937790000000001</v>
      </c>
      <c r="O11" s="10">
        <f>O$3+$A11-$C11-O$1+1</f>
        <v>-0.51589730000000023</v>
      </c>
      <c r="P11" s="10">
        <f t="shared" si="11"/>
        <v>0.49133210000000016</v>
      </c>
      <c r="Q11" s="10">
        <f t="shared" si="13"/>
        <v>-0.28208739999999999</v>
      </c>
      <c r="R11" s="10">
        <f t="shared" si="13"/>
        <v>-8.8636400000000393E-2</v>
      </c>
      <c r="S11" s="11">
        <f>S$3+$A11-$C11-S$1+1</f>
        <v>-0.77973840000000028</v>
      </c>
      <c r="T11" s="9">
        <f t="shared" si="12"/>
        <v>-0.36228609999999994</v>
      </c>
      <c r="U11" s="10">
        <f t="shared" si="14"/>
        <v>-1.2319224000000002</v>
      </c>
      <c r="V11" s="10">
        <f t="shared" si="14"/>
        <v>-1.1430093000000001</v>
      </c>
      <c r="W11" s="10">
        <f>W$3+$A11-$C11-W$1+1</f>
        <v>-2.0023541000000002</v>
      </c>
      <c r="X11" s="10">
        <f>X$3+$A11-$C11-X$1+1</f>
        <v>-1.0862156000000001</v>
      </c>
      <c r="Y11" s="10">
        <f>Y$3+$A11-$C11-Y$1+1</f>
        <v>-1.9509958000000003</v>
      </c>
      <c r="Z11" s="10">
        <f>Z$3+$A11-$C11-Z$1+1</f>
        <v>-1.8716333000000001</v>
      </c>
      <c r="AA11" s="11"/>
      <c r="AB11" s="9">
        <f>AB$3+$A11-$C11-AB$1+1</f>
        <v>-1.4682759000000001</v>
      </c>
      <c r="AC11" s="10">
        <f>AC$3+$A11-$C11-AC$1+1</f>
        <v>-2.4682759000000001</v>
      </c>
      <c r="AD11" s="10">
        <f>AD$3+$A11-$C11-AD$1+1</f>
        <v>-2.4682759000000001</v>
      </c>
      <c r="AE11" s="10"/>
      <c r="AF11" s="10">
        <f>AF$3+$A11-$C11-AF$1+1</f>
        <v>-2.4682759000000001</v>
      </c>
      <c r="AG11" s="10"/>
      <c r="AH11" s="10"/>
      <c r="AI11" s="11"/>
    </row>
    <row r="12" spans="1:35" x14ac:dyDescent="0.25">
      <c r="A12">
        <f>A4+1</f>
        <v>1</v>
      </c>
      <c r="B12" t="str">
        <f t="shared" si="3"/>
        <v>01000</v>
      </c>
      <c r="C12">
        <v>0.27081149999999998</v>
      </c>
      <c r="D12" s="3"/>
      <c r="E12" s="4"/>
      <c r="F12" s="4"/>
      <c r="G12" s="4"/>
      <c r="H12" s="4"/>
      <c r="I12" s="4"/>
      <c r="J12" s="4"/>
      <c r="K12" s="5"/>
      <c r="L12" s="3">
        <f t="shared" si="10"/>
        <v>1</v>
      </c>
      <c r="M12" s="4">
        <f t="shared" si="10"/>
        <v>0.26557150000000007</v>
      </c>
      <c r="N12" s="4">
        <f t="shared" si="10"/>
        <v>0.41684230000000011</v>
      </c>
      <c r="O12" s="4"/>
      <c r="P12" s="4">
        <f t="shared" si="11"/>
        <v>0.68879650000000003</v>
      </c>
      <c r="Q12" s="4"/>
      <c r="R12" s="4"/>
      <c r="S12" s="5"/>
      <c r="T12" s="3">
        <f t="shared" si="12"/>
        <v>-0.16482170000000007</v>
      </c>
      <c r="U12" s="4"/>
      <c r="V12" s="4"/>
      <c r="W12" s="4"/>
      <c r="X12" s="4"/>
      <c r="Y12" s="4"/>
      <c r="Z12" s="4"/>
      <c r="AA12" s="5"/>
      <c r="AB12" s="3"/>
      <c r="AC12" s="4"/>
      <c r="AD12" s="4"/>
      <c r="AE12" s="4"/>
      <c r="AF12" s="4"/>
      <c r="AG12" s="4"/>
      <c r="AH12" s="4"/>
      <c r="AI12" s="5"/>
    </row>
    <row r="13" spans="1:35" x14ac:dyDescent="0.25">
      <c r="A13">
        <f t="shared" ref="A13:A27" si="15">A5+1</f>
        <v>2</v>
      </c>
      <c r="B13" t="str">
        <f t="shared" si="3"/>
        <v>01001</v>
      </c>
      <c r="C13">
        <v>0.53638300000000005</v>
      </c>
      <c r="D13" s="6"/>
      <c r="E13" s="7"/>
      <c r="F13" s="7"/>
      <c r="G13" s="7"/>
      <c r="H13" s="7"/>
      <c r="I13" s="7"/>
      <c r="J13" s="7"/>
      <c r="K13" s="8"/>
      <c r="L13" s="6">
        <f t="shared" si="10"/>
        <v>1.7344284999999997</v>
      </c>
      <c r="M13" s="7">
        <f t="shared" si="10"/>
        <v>0.99999999999999978</v>
      </c>
      <c r="N13" s="7">
        <f t="shared" si="10"/>
        <v>1.1512707999999998</v>
      </c>
      <c r="O13" s="7">
        <f>O$3+$A13-$C13-O$1+1</f>
        <v>0.41599559999999958</v>
      </c>
      <c r="P13" s="7">
        <f t="shared" si="11"/>
        <v>1.4232250000000004</v>
      </c>
      <c r="Q13" s="7">
        <f t="shared" ref="Q13:R19" si="16">Q$3+$A13-$C13-Q$1+1</f>
        <v>0.64980550000000026</v>
      </c>
      <c r="R13" s="7">
        <f t="shared" si="16"/>
        <v>0.84325649999999985</v>
      </c>
      <c r="S13" s="8"/>
      <c r="T13" s="6">
        <f t="shared" si="12"/>
        <v>0.56960680000000008</v>
      </c>
      <c r="U13" s="7">
        <f t="shared" ref="U13:V24" si="17">U$3+$A13-$C13-U$1+1</f>
        <v>-0.30002950000000017</v>
      </c>
      <c r="V13" s="7">
        <f t="shared" si="17"/>
        <v>-0.21111640000000009</v>
      </c>
      <c r="W13" s="7"/>
      <c r="X13" s="7">
        <f t="shared" ref="X13:X24" si="18">X$3+$A13-$C13-X$1+1</f>
        <v>-0.15432270000000003</v>
      </c>
      <c r="Y13" s="7"/>
      <c r="Z13" s="7"/>
      <c r="AA13" s="8"/>
      <c r="AB13" s="6">
        <f t="shared" ref="AB13:AB24" si="19">AB$3+$A13-$C13-AB$1+1</f>
        <v>-0.53638300000000005</v>
      </c>
      <c r="AC13" s="7"/>
      <c r="AD13" s="7"/>
      <c r="AE13" s="7"/>
      <c r="AF13" s="7"/>
      <c r="AG13" s="7"/>
      <c r="AH13" s="7"/>
      <c r="AI13" s="8"/>
    </row>
    <row r="14" spans="1:35" x14ac:dyDescent="0.25">
      <c r="A14">
        <f t="shared" si="15"/>
        <v>2</v>
      </c>
      <c r="B14" t="str">
        <f t="shared" si="3"/>
        <v>01010</v>
      </c>
      <c r="C14">
        <v>0.68765379999999998</v>
      </c>
      <c r="D14" s="6"/>
      <c r="E14" s="7"/>
      <c r="F14" s="7"/>
      <c r="G14" s="7"/>
      <c r="H14" s="7"/>
      <c r="I14" s="7"/>
      <c r="J14" s="7"/>
      <c r="K14" s="8"/>
      <c r="L14" s="6">
        <f t="shared" si="10"/>
        <v>1.5831576999999997</v>
      </c>
      <c r="M14" s="7">
        <f t="shared" si="10"/>
        <v>0.84872919999999974</v>
      </c>
      <c r="N14" s="7">
        <f t="shared" si="10"/>
        <v>1</v>
      </c>
      <c r="O14" s="7">
        <f>O$3+$A14-$C14-O$1+1</f>
        <v>0.26472479999999976</v>
      </c>
      <c r="P14" s="7">
        <f t="shared" si="11"/>
        <v>1.2719542000000001</v>
      </c>
      <c r="Q14" s="7">
        <f t="shared" si="16"/>
        <v>0.4985347</v>
      </c>
      <c r="R14" s="7">
        <f t="shared" si="16"/>
        <v>0.69198569999999959</v>
      </c>
      <c r="S14" s="8"/>
      <c r="T14" s="6">
        <f t="shared" si="12"/>
        <v>0.41833600000000004</v>
      </c>
      <c r="U14" s="7">
        <f t="shared" si="17"/>
        <v>-0.45130030000000021</v>
      </c>
      <c r="V14" s="7">
        <f t="shared" si="17"/>
        <v>-0.36238720000000013</v>
      </c>
      <c r="W14" s="7"/>
      <c r="X14" s="7">
        <f t="shared" si="18"/>
        <v>-0.30559350000000007</v>
      </c>
      <c r="Y14" s="7"/>
      <c r="Z14" s="7"/>
      <c r="AA14" s="8"/>
      <c r="AB14" s="6">
        <f t="shared" si="19"/>
        <v>-0.68765380000000009</v>
      </c>
      <c r="AC14" s="7"/>
      <c r="AD14" s="7"/>
      <c r="AE14" s="7"/>
      <c r="AF14" s="7"/>
      <c r="AG14" s="7"/>
      <c r="AH14" s="7"/>
      <c r="AI14" s="8"/>
    </row>
    <row r="15" spans="1:35" x14ac:dyDescent="0.25">
      <c r="A15">
        <f t="shared" si="15"/>
        <v>3</v>
      </c>
      <c r="B15" t="str">
        <f t="shared" si="3"/>
        <v>01011</v>
      </c>
      <c r="C15">
        <v>0.95237859999999996</v>
      </c>
      <c r="D15" s="6"/>
      <c r="E15" s="7"/>
      <c r="F15" s="7"/>
      <c r="G15" s="7"/>
      <c r="H15" s="7"/>
      <c r="I15" s="7"/>
      <c r="J15" s="7"/>
      <c r="K15" s="8"/>
      <c r="L15" s="6">
        <f t="shared" si="10"/>
        <v>2.3184328999999999</v>
      </c>
      <c r="M15" s="7">
        <f t="shared" si="10"/>
        <v>1.5840044</v>
      </c>
      <c r="N15" s="7">
        <f t="shared" si="10"/>
        <v>1.7352752000000002</v>
      </c>
      <c r="O15" s="7">
        <f>O$3+$A15-$C15-O$1+1</f>
        <v>1</v>
      </c>
      <c r="P15" s="7">
        <f t="shared" si="11"/>
        <v>2.0072294000000004</v>
      </c>
      <c r="Q15" s="7">
        <f t="shared" si="16"/>
        <v>1.2338099000000002</v>
      </c>
      <c r="R15" s="7">
        <f t="shared" si="16"/>
        <v>1.4272608999999998</v>
      </c>
      <c r="S15" s="8">
        <f>S$3+$A15-$C15-S$1+1</f>
        <v>0.73615889999999995</v>
      </c>
      <c r="T15" s="6">
        <f t="shared" si="12"/>
        <v>1.1536112000000003</v>
      </c>
      <c r="U15" s="7">
        <f t="shared" si="17"/>
        <v>0.28397490000000003</v>
      </c>
      <c r="V15" s="7">
        <f t="shared" si="17"/>
        <v>0.37288800000000011</v>
      </c>
      <c r="W15" s="7">
        <f>W$3+$A15-$C15-W$1+1</f>
        <v>-0.48645680000000002</v>
      </c>
      <c r="X15" s="7">
        <f t="shared" si="18"/>
        <v>0.42968170000000017</v>
      </c>
      <c r="Y15" s="7">
        <f>Y$3+$A15-$C15-Y$1+1</f>
        <v>-0.43509850000000005</v>
      </c>
      <c r="Z15" s="7">
        <f>Z$3+$A15-$C15-Z$1+1</f>
        <v>-0.35573599999999983</v>
      </c>
      <c r="AA15" s="8"/>
      <c r="AB15" s="6">
        <f t="shared" si="19"/>
        <v>4.7621400000000147E-2</v>
      </c>
      <c r="AC15" s="7">
        <f>AC$3+$A15-$C15-AC$1+1</f>
        <v>-0.95237859999999985</v>
      </c>
      <c r="AD15" s="7">
        <f>AD$3+$A15-$C15-AD$1+1</f>
        <v>-0.95237859999999985</v>
      </c>
      <c r="AE15" s="7"/>
      <c r="AF15" s="7">
        <f>AF$3+$A15-$C15-AF$1+1</f>
        <v>-0.95237859999999985</v>
      </c>
      <c r="AG15" s="7">
        <f>AG$3+$A15-$C15-AG$1+1</f>
        <v>-1.9523785999999999</v>
      </c>
      <c r="AH15" s="7"/>
      <c r="AI15" s="8"/>
    </row>
    <row r="16" spans="1:35" x14ac:dyDescent="0.25">
      <c r="A16">
        <f t="shared" si="15"/>
        <v>2</v>
      </c>
      <c r="B16" t="str">
        <f t="shared" si="3"/>
        <v>01100</v>
      </c>
      <c r="C16">
        <v>0.95960800000000002</v>
      </c>
      <c r="D16" s="6"/>
      <c r="E16" s="7"/>
      <c r="F16" s="7"/>
      <c r="G16" s="7"/>
      <c r="H16" s="7"/>
      <c r="I16" s="7"/>
      <c r="J16" s="7"/>
      <c r="K16" s="8"/>
      <c r="L16" s="6">
        <f t="shared" si="10"/>
        <v>1.3112034999999997</v>
      </c>
      <c r="M16" s="7">
        <f t="shared" si="10"/>
        <v>0.57677499999999982</v>
      </c>
      <c r="N16" s="7">
        <f t="shared" si="10"/>
        <v>0.72804580000000008</v>
      </c>
      <c r="O16" s="7"/>
      <c r="P16" s="7">
        <f t="shared" si="11"/>
        <v>1</v>
      </c>
      <c r="Q16" s="7">
        <f t="shared" si="16"/>
        <v>0.22658049999999985</v>
      </c>
      <c r="R16" s="7">
        <f t="shared" si="16"/>
        <v>0.42003149999999945</v>
      </c>
      <c r="S16" s="8"/>
      <c r="T16" s="6">
        <f t="shared" si="12"/>
        <v>0.14638180000000012</v>
      </c>
      <c r="U16" s="7">
        <f t="shared" si="17"/>
        <v>-0.72325450000000013</v>
      </c>
      <c r="V16" s="7">
        <f t="shared" si="17"/>
        <v>-0.63434140000000006</v>
      </c>
      <c r="W16" s="7"/>
      <c r="X16" s="7">
        <f t="shared" si="18"/>
        <v>-0.5775477</v>
      </c>
      <c r="Y16" s="7"/>
      <c r="Z16" s="7"/>
      <c r="AA16" s="8"/>
      <c r="AB16" s="6">
        <f t="shared" si="19"/>
        <v>-0.95960800000000002</v>
      </c>
      <c r="AC16" s="7"/>
      <c r="AD16" s="7"/>
      <c r="AE16" s="7"/>
      <c r="AF16" s="7"/>
      <c r="AG16" s="7"/>
      <c r="AH16" s="7"/>
      <c r="AI16" s="8"/>
    </row>
    <row r="17" spans="1:35" x14ac:dyDescent="0.25">
      <c r="A17">
        <f t="shared" si="15"/>
        <v>3</v>
      </c>
      <c r="B17" t="str">
        <f t="shared" si="3"/>
        <v>01101</v>
      </c>
      <c r="C17">
        <v>1.1861885000000001</v>
      </c>
      <c r="D17" s="6"/>
      <c r="E17" s="7"/>
      <c r="F17" s="7"/>
      <c r="G17" s="7"/>
      <c r="H17" s="7"/>
      <c r="I17" s="7"/>
      <c r="J17" s="7"/>
      <c r="K17" s="8"/>
      <c r="L17" s="6">
        <f t="shared" si="10"/>
        <v>2.0846229999999997</v>
      </c>
      <c r="M17" s="7">
        <f t="shared" si="10"/>
        <v>1.3501944999999997</v>
      </c>
      <c r="N17" s="7">
        <f t="shared" si="10"/>
        <v>1.5014653</v>
      </c>
      <c r="O17" s="7">
        <f>O$3+$A17-$C17-O$1+1</f>
        <v>0.76619009999999976</v>
      </c>
      <c r="P17" s="7">
        <f t="shared" si="11"/>
        <v>1.7734195000000001</v>
      </c>
      <c r="Q17" s="7">
        <f t="shared" si="16"/>
        <v>1</v>
      </c>
      <c r="R17" s="7">
        <f t="shared" si="16"/>
        <v>1.1934509999999996</v>
      </c>
      <c r="S17" s="8">
        <f>S$3+$A17-$C17-S$1+1</f>
        <v>0.50234899999999971</v>
      </c>
      <c r="T17" s="6">
        <f t="shared" si="12"/>
        <v>0.91980130000000004</v>
      </c>
      <c r="U17" s="7">
        <f t="shared" si="17"/>
        <v>5.0164999999999793E-2</v>
      </c>
      <c r="V17" s="7">
        <f t="shared" si="17"/>
        <v>0.13907809999999987</v>
      </c>
      <c r="W17" s="7">
        <f>W$3+$A17-$C17-W$1+1</f>
        <v>-0.72026670000000026</v>
      </c>
      <c r="X17" s="7">
        <f t="shared" si="18"/>
        <v>0.19587179999999993</v>
      </c>
      <c r="Y17" s="7">
        <f t="shared" ref="Y17:Z19" si="20">Y$3+$A17-$C17-Y$1+1</f>
        <v>-0.66890840000000029</v>
      </c>
      <c r="Z17" s="7">
        <f t="shared" si="20"/>
        <v>-0.58954590000000007</v>
      </c>
      <c r="AA17" s="8"/>
      <c r="AB17" s="6">
        <f t="shared" si="19"/>
        <v>-0.18618850000000009</v>
      </c>
      <c r="AC17" s="7">
        <f t="shared" ref="AC17:AD19" si="21">AC$3+$A17-$C17-AC$1+1</f>
        <v>-1.1861885000000001</v>
      </c>
      <c r="AD17" s="7">
        <f t="shared" si="21"/>
        <v>-1.1861885000000001</v>
      </c>
      <c r="AE17" s="7"/>
      <c r="AF17" s="7">
        <f t="shared" ref="AF17:AG19" si="22">AF$3+$A17-$C17-AF$1+1</f>
        <v>-1.1861885000000001</v>
      </c>
      <c r="AG17" s="7">
        <f t="shared" si="22"/>
        <v>-2.1861885000000001</v>
      </c>
      <c r="AH17" s="7"/>
      <c r="AI17" s="8"/>
    </row>
    <row r="18" spans="1:35" x14ac:dyDescent="0.25">
      <c r="A18">
        <f t="shared" si="15"/>
        <v>3</v>
      </c>
      <c r="B18" t="str">
        <f t="shared" si="3"/>
        <v>01110</v>
      </c>
      <c r="C18">
        <v>1.3796394999999999</v>
      </c>
      <c r="D18" s="6"/>
      <c r="E18" s="7"/>
      <c r="F18" s="7"/>
      <c r="G18" s="7"/>
      <c r="H18" s="7"/>
      <c r="I18" s="7"/>
      <c r="J18" s="7"/>
      <c r="K18" s="8"/>
      <c r="L18" s="6">
        <f t="shared" si="10"/>
        <v>1.8911719999999999</v>
      </c>
      <c r="M18" s="7">
        <f t="shared" si="10"/>
        <v>1.1567435000000001</v>
      </c>
      <c r="N18" s="7">
        <f t="shared" si="10"/>
        <v>1.3080143</v>
      </c>
      <c r="O18" s="7">
        <f>O$3+$A18-$C18-O$1+1</f>
        <v>0.57273909999999972</v>
      </c>
      <c r="P18" s="7">
        <f t="shared" si="11"/>
        <v>1.5799685000000006</v>
      </c>
      <c r="Q18" s="7">
        <f t="shared" si="16"/>
        <v>0.8065490000000004</v>
      </c>
      <c r="R18" s="7">
        <f t="shared" si="16"/>
        <v>1</v>
      </c>
      <c r="S18" s="8">
        <f>S$3+$A18-$C18-S$1+1</f>
        <v>0.30889800000000012</v>
      </c>
      <c r="T18" s="6">
        <f t="shared" si="12"/>
        <v>0.72635030000000023</v>
      </c>
      <c r="U18" s="7">
        <f t="shared" si="17"/>
        <v>-0.14328600000000002</v>
      </c>
      <c r="V18" s="7">
        <f t="shared" si="17"/>
        <v>-5.4372899999999946E-2</v>
      </c>
      <c r="W18" s="7">
        <f>W$3+$A18-$C18-W$1+1</f>
        <v>-0.9137177000000003</v>
      </c>
      <c r="X18" s="7">
        <f t="shared" si="18"/>
        <v>2.4208000000003338E-3</v>
      </c>
      <c r="Y18" s="7">
        <f t="shared" si="20"/>
        <v>-0.86235939999999989</v>
      </c>
      <c r="Z18" s="7">
        <f t="shared" si="20"/>
        <v>-0.78299689999999966</v>
      </c>
      <c r="AA18" s="8"/>
      <c r="AB18" s="6">
        <f t="shared" si="19"/>
        <v>-0.37963949999999991</v>
      </c>
      <c r="AC18" s="7">
        <f t="shared" si="21"/>
        <v>-1.3796394999999997</v>
      </c>
      <c r="AD18" s="7">
        <f t="shared" si="21"/>
        <v>-1.3796394999999997</v>
      </c>
      <c r="AE18" s="7"/>
      <c r="AF18" s="7">
        <f t="shared" si="22"/>
        <v>-1.3796394999999997</v>
      </c>
      <c r="AG18" s="7">
        <f t="shared" si="22"/>
        <v>-2.3796394999999997</v>
      </c>
      <c r="AH18" s="7"/>
      <c r="AI18" s="8"/>
    </row>
    <row r="19" spans="1:35" x14ac:dyDescent="0.25">
      <c r="A19">
        <f t="shared" si="15"/>
        <v>4</v>
      </c>
      <c r="B19" t="str">
        <f t="shared" si="3"/>
        <v>01111</v>
      </c>
      <c r="C19">
        <v>1.6885375</v>
      </c>
      <c r="D19" s="9"/>
      <c r="E19" s="10"/>
      <c r="F19" s="10"/>
      <c r="G19" s="10"/>
      <c r="H19" s="10"/>
      <c r="I19" s="10"/>
      <c r="J19" s="10"/>
      <c r="K19" s="11"/>
      <c r="L19" s="9">
        <f t="shared" si="10"/>
        <v>2.582274</v>
      </c>
      <c r="M19" s="10">
        <f t="shared" si="10"/>
        <v>1.8478455</v>
      </c>
      <c r="N19" s="10">
        <f t="shared" si="10"/>
        <v>1.9991162999999998</v>
      </c>
      <c r="O19" s="10">
        <f>O$3+$A19-$C19-O$1+1</f>
        <v>1.2638411000000005</v>
      </c>
      <c r="P19" s="10">
        <f t="shared" si="11"/>
        <v>2.2710705000000004</v>
      </c>
      <c r="Q19" s="10">
        <f t="shared" si="16"/>
        <v>1.4976510000000003</v>
      </c>
      <c r="R19" s="10">
        <f t="shared" si="16"/>
        <v>1.6911019999999999</v>
      </c>
      <c r="S19" s="11">
        <f>S$3+$A19-$C19-S$1+1</f>
        <v>1</v>
      </c>
      <c r="T19" s="9">
        <f t="shared" si="12"/>
        <v>1.4174522999999999</v>
      </c>
      <c r="U19" s="10">
        <f t="shared" si="17"/>
        <v>0.54781600000000008</v>
      </c>
      <c r="V19" s="10">
        <f t="shared" si="17"/>
        <v>0.63672910000000016</v>
      </c>
      <c r="W19" s="10">
        <f>W$3+$A19-$C19-W$1+1</f>
        <v>-0.22261569999999953</v>
      </c>
      <c r="X19" s="10">
        <f t="shared" si="18"/>
        <v>0.69352280000000022</v>
      </c>
      <c r="Y19" s="10">
        <f t="shared" si="20"/>
        <v>-0.1712574</v>
      </c>
      <c r="Z19" s="10">
        <f t="shared" si="20"/>
        <v>-9.189489999999978E-2</v>
      </c>
      <c r="AA19" s="11">
        <f>AA$3+$A19-$C19-AA$1+1</f>
        <v>-0.85218919999999976</v>
      </c>
      <c r="AB19" s="9">
        <f t="shared" si="19"/>
        <v>0.3114625000000002</v>
      </c>
      <c r="AC19" s="10">
        <f t="shared" si="21"/>
        <v>-0.6885374999999998</v>
      </c>
      <c r="AD19" s="10">
        <f t="shared" si="21"/>
        <v>-0.6885374999999998</v>
      </c>
      <c r="AE19" s="10">
        <f>AE$3+$A19-$C19-AE$1+1</f>
        <v>-1.6885374999999998</v>
      </c>
      <c r="AF19" s="10">
        <f t="shared" si="22"/>
        <v>-0.6885374999999998</v>
      </c>
      <c r="AG19" s="10">
        <f t="shared" si="22"/>
        <v>-1.6885374999999998</v>
      </c>
      <c r="AH19" s="10">
        <f>AH$3+$A19-$C19-AH$1+1</f>
        <v>-1.6885374999999998</v>
      </c>
      <c r="AI19" s="11"/>
    </row>
    <row r="20" spans="1:35" x14ac:dyDescent="0.25">
      <c r="A20">
        <f t="shared" si="15"/>
        <v>2</v>
      </c>
      <c r="B20" t="str">
        <f t="shared" si="3"/>
        <v>10000</v>
      </c>
      <c r="C20">
        <v>0.1059898</v>
      </c>
      <c r="D20" s="3"/>
      <c r="E20" s="4"/>
      <c r="F20" s="4"/>
      <c r="G20" s="4"/>
      <c r="H20" s="4"/>
      <c r="I20" s="4"/>
      <c r="J20" s="4"/>
      <c r="K20" s="5"/>
      <c r="L20" s="3"/>
      <c r="M20" s="4"/>
      <c r="N20" s="4"/>
      <c r="O20" s="4"/>
      <c r="P20" s="4"/>
      <c r="Q20" s="4"/>
      <c r="R20" s="4"/>
      <c r="S20" s="5"/>
      <c r="T20" s="3">
        <f t="shared" si="12"/>
        <v>1</v>
      </c>
      <c r="U20" s="4">
        <f t="shared" si="17"/>
        <v>0.13036369999999975</v>
      </c>
      <c r="V20" s="4">
        <f t="shared" si="17"/>
        <v>0.21927679999999983</v>
      </c>
      <c r="W20" s="4"/>
      <c r="X20" s="4">
        <f t="shared" si="18"/>
        <v>0.27607049999999989</v>
      </c>
      <c r="Y20" s="4"/>
      <c r="Z20" s="4"/>
      <c r="AA20" s="5"/>
      <c r="AB20" s="3">
        <f t="shared" si="19"/>
        <v>-0.10598979999999991</v>
      </c>
      <c r="AC20" s="4"/>
      <c r="AD20" s="4"/>
      <c r="AE20" s="4"/>
      <c r="AF20" s="4"/>
      <c r="AG20" s="4"/>
      <c r="AH20" s="4"/>
      <c r="AI20" s="5"/>
    </row>
    <row r="21" spans="1:35" x14ac:dyDescent="0.25">
      <c r="A21">
        <f t="shared" si="15"/>
        <v>3</v>
      </c>
      <c r="B21" t="str">
        <f t="shared" si="3"/>
        <v>10001</v>
      </c>
      <c r="C21">
        <v>0.23635349999999999</v>
      </c>
      <c r="D21" s="6"/>
      <c r="E21" s="7"/>
      <c r="F21" s="7"/>
      <c r="G21" s="7"/>
      <c r="H21" s="7"/>
      <c r="I21" s="7"/>
      <c r="J21" s="7"/>
      <c r="K21" s="8"/>
      <c r="L21" s="6"/>
      <c r="M21" s="7"/>
      <c r="N21" s="7"/>
      <c r="O21" s="7"/>
      <c r="P21" s="7"/>
      <c r="Q21" s="7"/>
      <c r="R21" s="7"/>
      <c r="S21" s="8"/>
      <c r="T21" s="6">
        <f t="shared" si="12"/>
        <v>1.8696363000000003</v>
      </c>
      <c r="U21" s="7">
        <f t="shared" si="17"/>
        <v>1</v>
      </c>
      <c r="V21" s="7">
        <f t="shared" si="17"/>
        <v>1.0889131000000001</v>
      </c>
      <c r="W21" s="7">
        <f>W$3+$A21-$C21-W$1+1</f>
        <v>0.22956829999999995</v>
      </c>
      <c r="X21" s="7">
        <f t="shared" si="18"/>
        <v>1.1457068000000001</v>
      </c>
      <c r="Y21" s="7">
        <f t="shared" ref="Y21:Z24" si="23">Y$3+$A21-$C21-Y$1+1</f>
        <v>0.28092659999999992</v>
      </c>
      <c r="Z21" s="7">
        <f t="shared" si="23"/>
        <v>0.36028910000000014</v>
      </c>
      <c r="AA21" s="8"/>
      <c r="AB21" s="6">
        <f t="shared" si="19"/>
        <v>0.76364650000000012</v>
      </c>
      <c r="AC21" s="7">
        <f t="shared" ref="AC21:AD24" si="24">AC$3+$A21-$C21-AC$1+1</f>
        <v>-0.23635349999999988</v>
      </c>
      <c r="AD21" s="7">
        <f t="shared" si="24"/>
        <v>-0.23635349999999988</v>
      </c>
      <c r="AE21" s="7"/>
      <c r="AF21" s="7">
        <f t="shared" ref="AF21:AG24" si="25">AF$3+$A21-$C21-AF$1+1</f>
        <v>-0.23635349999999988</v>
      </c>
      <c r="AG21" s="7">
        <f t="shared" si="25"/>
        <v>-1.2363534999999999</v>
      </c>
      <c r="AH21" s="7"/>
      <c r="AI21" s="8"/>
    </row>
    <row r="22" spans="1:35" x14ac:dyDescent="0.25">
      <c r="A22">
        <f t="shared" si="15"/>
        <v>3</v>
      </c>
      <c r="B22" t="str">
        <f t="shared" si="3"/>
        <v>10010</v>
      </c>
      <c r="C22">
        <v>0.32526660000000002</v>
      </c>
      <c r="D22" s="6"/>
      <c r="E22" s="7"/>
      <c r="F22" s="7"/>
      <c r="G22" s="7"/>
      <c r="H22" s="7"/>
      <c r="I22" s="7"/>
      <c r="J22" s="7"/>
      <c r="K22" s="8"/>
      <c r="L22" s="6"/>
      <c r="M22" s="7"/>
      <c r="N22" s="7"/>
      <c r="O22" s="7"/>
      <c r="P22" s="7"/>
      <c r="Q22" s="7"/>
      <c r="R22" s="7"/>
      <c r="S22" s="8"/>
      <c r="T22" s="6">
        <f t="shared" si="12"/>
        <v>1.7807232000000002</v>
      </c>
      <c r="U22" s="7">
        <f t="shared" si="17"/>
        <v>0.91108689999999992</v>
      </c>
      <c r="V22" s="7">
        <f t="shared" si="17"/>
        <v>1</v>
      </c>
      <c r="W22" s="7">
        <f>W$3+$A22-$C22-W$1+1</f>
        <v>0.14065519999999987</v>
      </c>
      <c r="X22" s="7">
        <f t="shared" si="18"/>
        <v>1.0567937000000001</v>
      </c>
      <c r="Y22" s="7">
        <f t="shared" si="23"/>
        <v>0.19201349999999984</v>
      </c>
      <c r="Z22" s="7">
        <f t="shared" si="23"/>
        <v>0.27137600000000006</v>
      </c>
      <c r="AA22" s="8"/>
      <c r="AB22" s="6">
        <f t="shared" si="19"/>
        <v>0.67473340000000004</v>
      </c>
      <c r="AC22" s="7">
        <f t="shared" si="24"/>
        <v>-0.32526659999999996</v>
      </c>
      <c r="AD22" s="7">
        <f t="shared" si="24"/>
        <v>-0.32526659999999996</v>
      </c>
      <c r="AE22" s="7"/>
      <c r="AF22" s="7">
        <f t="shared" si="25"/>
        <v>-0.32526659999999996</v>
      </c>
      <c r="AG22" s="7">
        <f t="shared" si="25"/>
        <v>-1.3252666</v>
      </c>
      <c r="AH22" s="7"/>
      <c r="AI22" s="8"/>
    </row>
    <row r="23" spans="1:35" x14ac:dyDescent="0.25">
      <c r="A23">
        <f t="shared" si="15"/>
        <v>4</v>
      </c>
      <c r="B23" t="str">
        <f t="shared" si="3"/>
        <v>10011</v>
      </c>
      <c r="C23">
        <v>0.4659218</v>
      </c>
      <c r="D23" s="6"/>
      <c r="E23" s="7"/>
      <c r="F23" s="7"/>
      <c r="G23" s="7"/>
      <c r="H23" s="7"/>
      <c r="I23" s="7"/>
      <c r="J23" s="7"/>
      <c r="K23" s="8"/>
      <c r="L23" s="6"/>
      <c r="M23" s="7"/>
      <c r="N23" s="7"/>
      <c r="O23" s="7"/>
      <c r="P23" s="7"/>
      <c r="Q23" s="7"/>
      <c r="R23" s="7"/>
      <c r="S23" s="8"/>
      <c r="T23" s="6">
        <f t="shared" si="12"/>
        <v>2.6400679999999999</v>
      </c>
      <c r="U23" s="7">
        <f t="shared" si="17"/>
        <v>1.7704317000000001</v>
      </c>
      <c r="V23" s="7">
        <f t="shared" si="17"/>
        <v>1.8593448000000001</v>
      </c>
      <c r="W23" s="7">
        <f>W$3+$A23-$C23-W$1+1</f>
        <v>1</v>
      </c>
      <c r="X23" s="7">
        <f t="shared" si="18"/>
        <v>1.9161385000000002</v>
      </c>
      <c r="Y23" s="7">
        <f t="shared" si="23"/>
        <v>1.0513582999999995</v>
      </c>
      <c r="Z23" s="7">
        <f t="shared" si="23"/>
        <v>1.1307207999999997</v>
      </c>
      <c r="AA23" s="8">
        <f>AA$3+$A23-$C23-AA$1+1</f>
        <v>0.37042649999999977</v>
      </c>
      <c r="AB23" s="6">
        <f t="shared" si="19"/>
        <v>1.5340782000000002</v>
      </c>
      <c r="AC23" s="7">
        <f t="shared" si="24"/>
        <v>0.53407820000000017</v>
      </c>
      <c r="AD23" s="7">
        <f t="shared" si="24"/>
        <v>0.53407820000000017</v>
      </c>
      <c r="AE23" s="7">
        <f>AE$3+$A23-$C23-AE$1+1</f>
        <v>-0.46592179999999983</v>
      </c>
      <c r="AF23" s="7">
        <f t="shared" si="25"/>
        <v>0.53407820000000017</v>
      </c>
      <c r="AG23" s="7">
        <f t="shared" si="25"/>
        <v>-0.46592179999999983</v>
      </c>
      <c r="AH23" s="7">
        <f>AH$3+$A23-$C23-AH$1+1</f>
        <v>-0.46592179999999983</v>
      </c>
      <c r="AI23" s="8"/>
    </row>
    <row r="24" spans="1:35" x14ac:dyDescent="0.25">
      <c r="A24">
        <f t="shared" si="15"/>
        <v>3</v>
      </c>
      <c r="B24" t="str">
        <f t="shared" si="3"/>
        <v>10100</v>
      </c>
      <c r="C24">
        <v>0.38206030000000002</v>
      </c>
      <c r="D24" s="6"/>
      <c r="E24" s="7"/>
      <c r="F24" s="7"/>
      <c r="G24" s="7"/>
      <c r="H24" s="7"/>
      <c r="I24" s="7"/>
      <c r="J24" s="7"/>
      <c r="K24" s="8"/>
      <c r="L24" s="6"/>
      <c r="M24" s="7"/>
      <c r="N24" s="7"/>
      <c r="O24" s="7"/>
      <c r="P24" s="7"/>
      <c r="Q24" s="7"/>
      <c r="R24" s="7"/>
      <c r="S24" s="8"/>
      <c r="T24" s="6">
        <f t="shared" si="12"/>
        <v>1.7239295000000001</v>
      </c>
      <c r="U24" s="7">
        <f t="shared" si="17"/>
        <v>0.85429319999999986</v>
      </c>
      <c r="V24" s="7">
        <f t="shared" si="17"/>
        <v>0.94320629999999994</v>
      </c>
      <c r="W24" s="7"/>
      <c r="X24" s="7">
        <f t="shared" si="18"/>
        <v>1</v>
      </c>
      <c r="Y24" s="7">
        <f t="shared" si="23"/>
        <v>0.13521979999999978</v>
      </c>
      <c r="Z24" s="7">
        <f t="shared" si="23"/>
        <v>0.2145823</v>
      </c>
      <c r="AA24" s="8"/>
      <c r="AB24" s="6">
        <f t="shared" si="19"/>
        <v>0.61793969999999998</v>
      </c>
      <c r="AC24" s="7">
        <f t="shared" si="24"/>
        <v>-0.38206030000000002</v>
      </c>
      <c r="AD24" s="7">
        <f t="shared" si="24"/>
        <v>-0.38206030000000002</v>
      </c>
      <c r="AE24" s="7"/>
      <c r="AF24" s="7">
        <f t="shared" si="25"/>
        <v>-0.38206030000000002</v>
      </c>
      <c r="AG24" s="7">
        <f t="shared" si="25"/>
        <v>-1.3820603</v>
      </c>
      <c r="AH24" s="7"/>
      <c r="AI24" s="8"/>
    </row>
    <row r="25" spans="1:35" x14ac:dyDescent="0.25">
      <c r="A25">
        <f t="shared" si="15"/>
        <v>4</v>
      </c>
      <c r="B25" t="str">
        <f t="shared" si="3"/>
        <v>10101</v>
      </c>
      <c r="C25">
        <v>0.51728010000000002</v>
      </c>
      <c r="D25" s="6"/>
      <c r="E25" s="7"/>
      <c r="F25" s="7"/>
      <c r="G25" s="7"/>
      <c r="H25" s="7"/>
      <c r="I25" s="7"/>
      <c r="J25" s="7"/>
      <c r="K25" s="8"/>
      <c r="L25" s="6"/>
      <c r="M25" s="7"/>
      <c r="N25" s="7"/>
      <c r="O25" s="7"/>
      <c r="P25" s="7"/>
      <c r="Q25" s="7"/>
      <c r="R25" s="7"/>
      <c r="S25" s="8"/>
      <c r="T25" s="6">
        <f t="shared" ref="T25:AI27" si="26">T$3+$A25-$C25-T$1+1</f>
        <v>2.5887096999999999</v>
      </c>
      <c r="U25" s="7">
        <f t="shared" si="26"/>
        <v>1.7190734000000001</v>
      </c>
      <c r="V25" s="7">
        <f t="shared" si="26"/>
        <v>1.8079865000000002</v>
      </c>
      <c r="W25" s="7">
        <f t="shared" si="26"/>
        <v>0.94864170000000048</v>
      </c>
      <c r="X25" s="7">
        <f t="shared" si="26"/>
        <v>1.8647802000000002</v>
      </c>
      <c r="Y25" s="7">
        <f t="shared" si="26"/>
        <v>1</v>
      </c>
      <c r="Z25" s="7">
        <f t="shared" si="26"/>
        <v>1.0793625000000002</v>
      </c>
      <c r="AA25" s="8">
        <f t="shared" si="26"/>
        <v>0.31906820000000025</v>
      </c>
      <c r="AB25" s="6">
        <f t="shared" si="26"/>
        <v>1.4827199000000002</v>
      </c>
      <c r="AC25" s="7">
        <f t="shared" si="26"/>
        <v>0.4827199000000002</v>
      </c>
      <c r="AD25" s="7">
        <f t="shared" si="26"/>
        <v>0.4827199000000002</v>
      </c>
      <c r="AE25" s="7">
        <f t="shared" si="26"/>
        <v>-0.5172800999999998</v>
      </c>
      <c r="AF25" s="7">
        <f t="shared" si="26"/>
        <v>0.4827199000000002</v>
      </c>
      <c r="AG25" s="7">
        <f t="shared" si="26"/>
        <v>-0.5172800999999998</v>
      </c>
      <c r="AH25" s="7">
        <f t="shared" si="26"/>
        <v>-0.5172800999999998</v>
      </c>
      <c r="AI25" s="8"/>
    </row>
    <row r="26" spans="1:35" x14ac:dyDescent="0.25">
      <c r="A26">
        <f t="shared" si="15"/>
        <v>4</v>
      </c>
      <c r="B26" t="str">
        <f t="shared" si="3"/>
        <v>10110</v>
      </c>
      <c r="C26">
        <v>0.59664260000000002</v>
      </c>
      <c r="D26" s="6"/>
      <c r="E26" s="7"/>
      <c r="F26" s="7"/>
      <c r="G26" s="7"/>
      <c r="H26" s="7"/>
      <c r="I26" s="7"/>
      <c r="J26" s="7"/>
      <c r="K26" s="8"/>
      <c r="L26" s="6"/>
      <c r="M26" s="7"/>
      <c r="N26" s="7"/>
      <c r="O26" s="7"/>
      <c r="P26" s="7"/>
      <c r="Q26" s="7"/>
      <c r="R26" s="7"/>
      <c r="S26" s="8"/>
      <c r="T26" s="6">
        <f t="shared" si="26"/>
        <v>2.5093471999999997</v>
      </c>
      <c r="U26" s="7">
        <f t="shared" si="26"/>
        <v>1.6397108999999999</v>
      </c>
      <c r="V26" s="7">
        <f t="shared" si="26"/>
        <v>1.7286239999999999</v>
      </c>
      <c r="W26" s="7">
        <f t="shared" si="26"/>
        <v>0.86927920000000025</v>
      </c>
      <c r="X26" s="7">
        <f t="shared" si="26"/>
        <v>1.7854177</v>
      </c>
      <c r="Y26" s="7">
        <f t="shared" si="26"/>
        <v>0.92063749999999978</v>
      </c>
      <c r="Z26" s="7">
        <f t="shared" si="26"/>
        <v>1</v>
      </c>
      <c r="AA26" s="8">
        <f t="shared" si="26"/>
        <v>0.23970570000000002</v>
      </c>
      <c r="AB26" s="6">
        <f t="shared" si="26"/>
        <v>1.4033574</v>
      </c>
      <c r="AC26" s="7">
        <f t="shared" si="26"/>
        <v>0.40335739999999998</v>
      </c>
      <c r="AD26" s="7">
        <f t="shared" si="26"/>
        <v>0.40335739999999998</v>
      </c>
      <c r="AE26" s="7">
        <f t="shared" si="26"/>
        <v>-0.59664260000000002</v>
      </c>
      <c r="AF26" s="7">
        <f t="shared" si="26"/>
        <v>0.40335739999999998</v>
      </c>
      <c r="AG26" s="7">
        <f t="shared" si="26"/>
        <v>-0.59664260000000002</v>
      </c>
      <c r="AH26" s="7">
        <f t="shared" si="26"/>
        <v>-0.59664260000000002</v>
      </c>
      <c r="AI26" s="8"/>
    </row>
    <row r="27" spans="1:35" x14ac:dyDescent="0.25">
      <c r="A27">
        <f t="shared" si="15"/>
        <v>5</v>
      </c>
      <c r="B27" t="str">
        <f t="shared" si="3"/>
        <v>10111</v>
      </c>
      <c r="C27">
        <v>0.83634830000000004</v>
      </c>
      <c r="D27" s="9"/>
      <c r="E27" s="10"/>
      <c r="F27" s="10"/>
      <c r="G27" s="10"/>
      <c r="H27" s="10"/>
      <c r="I27" s="10"/>
      <c r="J27" s="10"/>
      <c r="K27" s="11"/>
      <c r="L27" s="9"/>
      <c r="M27" s="10"/>
      <c r="N27" s="10"/>
      <c r="O27" s="10"/>
      <c r="P27" s="10"/>
      <c r="Q27" s="10"/>
      <c r="R27" s="10"/>
      <c r="S27" s="11"/>
      <c r="T27" s="9">
        <f t="shared" si="26"/>
        <v>3.2696414999999996</v>
      </c>
      <c r="U27" s="10">
        <f t="shared" si="26"/>
        <v>2.4000051999999998</v>
      </c>
      <c r="V27" s="10">
        <f t="shared" si="26"/>
        <v>2.4889182999999999</v>
      </c>
      <c r="W27" s="10">
        <f t="shared" si="26"/>
        <v>1.6295735000000002</v>
      </c>
      <c r="X27" s="10">
        <f t="shared" si="26"/>
        <v>2.545712</v>
      </c>
      <c r="Y27" s="10">
        <f t="shared" si="26"/>
        <v>1.6809317999999998</v>
      </c>
      <c r="Z27" s="10">
        <f t="shared" si="26"/>
        <v>1.7602943</v>
      </c>
      <c r="AA27" s="11">
        <f t="shared" si="26"/>
        <v>1</v>
      </c>
      <c r="AB27" s="9">
        <f t="shared" si="26"/>
        <v>2.1636517</v>
      </c>
      <c r="AC27" s="10">
        <f t="shared" si="26"/>
        <v>1.1636517</v>
      </c>
      <c r="AD27" s="10">
        <f t="shared" si="26"/>
        <v>1.1636517</v>
      </c>
      <c r="AE27" s="10">
        <f t="shared" si="26"/>
        <v>0.16365169999999996</v>
      </c>
      <c r="AF27" s="10">
        <f t="shared" si="26"/>
        <v>1.1636517</v>
      </c>
      <c r="AG27" s="10">
        <f t="shared" si="26"/>
        <v>0.16365169999999996</v>
      </c>
      <c r="AH27" s="10">
        <f t="shared" si="26"/>
        <v>0.16365169999999996</v>
      </c>
      <c r="AI27" s="11">
        <f t="shared" si="26"/>
        <v>-0.83634830000000004</v>
      </c>
    </row>
  </sheetData>
  <conditionalFormatting sqref="D4:AI2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AI27"/>
  <sheetViews>
    <sheetView zoomScale="70" zoomScaleNormal="70" workbookViewId="0">
      <selection activeCell="C3" sqref="C3"/>
    </sheetView>
  </sheetViews>
  <sheetFormatPr defaultRowHeight="15" x14ac:dyDescent="0.25"/>
  <cols>
    <col min="3" max="35" width="6.7109375" customWidth="1"/>
  </cols>
  <sheetData>
    <row r="3" spans="3:35" x14ac:dyDescent="0.25">
      <c r="C3" s="2" t="s">
        <v>0</v>
      </c>
      <c r="D3" t="str">
        <f>DEC2BIN(COLUMN()-4,5)</f>
        <v>00000</v>
      </c>
      <c r="E3" t="str">
        <f t="shared" ref="E3:AI3" si="0">DEC2BIN(COLUMN()-4,5)</f>
        <v>00001</v>
      </c>
      <c r="F3" t="str">
        <f t="shared" si="0"/>
        <v>00010</v>
      </c>
      <c r="G3" t="str">
        <f t="shared" si="0"/>
        <v>00011</v>
      </c>
      <c r="H3" t="str">
        <f t="shared" si="0"/>
        <v>00100</v>
      </c>
      <c r="I3" t="str">
        <f t="shared" si="0"/>
        <v>00101</v>
      </c>
      <c r="J3" t="str">
        <f t="shared" si="0"/>
        <v>00110</v>
      </c>
      <c r="K3" t="str">
        <f t="shared" si="0"/>
        <v>00111</v>
      </c>
      <c r="L3" t="str">
        <f t="shared" si="0"/>
        <v>01000</v>
      </c>
      <c r="M3" t="str">
        <f t="shared" si="0"/>
        <v>01001</v>
      </c>
      <c r="N3" t="str">
        <f t="shared" si="0"/>
        <v>01010</v>
      </c>
      <c r="O3" t="str">
        <f t="shared" si="0"/>
        <v>01011</v>
      </c>
      <c r="P3" t="str">
        <f t="shared" si="0"/>
        <v>01100</v>
      </c>
      <c r="Q3" t="str">
        <f t="shared" si="0"/>
        <v>01101</v>
      </c>
      <c r="R3" t="str">
        <f t="shared" si="0"/>
        <v>01110</v>
      </c>
      <c r="S3" t="str">
        <f t="shared" si="0"/>
        <v>01111</v>
      </c>
      <c r="T3" t="str">
        <f t="shared" si="0"/>
        <v>10000</v>
      </c>
      <c r="U3" t="str">
        <f t="shared" si="0"/>
        <v>10001</v>
      </c>
      <c r="V3" t="str">
        <f t="shared" si="0"/>
        <v>10010</v>
      </c>
      <c r="W3" t="str">
        <f t="shared" si="0"/>
        <v>10011</v>
      </c>
      <c r="X3" t="str">
        <f t="shared" si="0"/>
        <v>10100</v>
      </c>
      <c r="Y3" t="str">
        <f t="shared" si="0"/>
        <v>10101</v>
      </c>
      <c r="Z3" t="str">
        <f t="shared" si="0"/>
        <v>10110</v>
      </c>
      <c r="AA3" t="str">
        <f t="shared" si="0"/>
        <v>10111</v>
      </c>
      <c r="AB3" t="str">
        <f t="shared" si="0"/>
        <v>11000</v>
      </c>
      <c r="AC3" t="str">
        <f t="shared" si="0"/>
        <v>11001</v>
      </c>
      <c r="AD3" t="str">
        <f t="shared" si="0"/>
        <v>11010</v>
      </c>
      <c r="AE3" t="str">
        <f t="shared" si="0"/>
        <v>11011</v>
      </c>
      <c r="AF3" t="str">
        <f t="shared" si="0"/>
        <v>11100</v>
      </c>
      <c r="AG3" t="str">
        <f t="shared" si="0"/>
        <v>11101</v>
      </c>
      <c r="AH3" t="str">
        <f t="shared" si="0"/>
        <v>11110</v>
      </c>
      <c r="AI3" t="str">
        <f t="shared" si="0"/>
        <v>11111</v>
      </c>
    </row>
    <row r="4" spans="3:35" x14ac:dyDescent="0.25">
      <c r="C4" t="str">
        <f>DEC2BIN(ROW()-4,5)</f>
        <v>00000</v>
      </c>
      <c r="D4" s="1">
        <f>IF(ISBLANK('2021'!D4),"",'2021'!D4-'2018'!D4)</f>
        <v>0</v>
      </c>
      <c r="E4" s="1">
        <f>IF(ISBLANK('2021'!E4),"",'2021'!E4-'2018'!E4)</f>
        <v>9.1010000000000257E-3</v>
      </c>
      <c r="F4" s="1">
        <f>IF(ISBLANK('2021'!F4),"",'2021'!F4-'2018'!F4)</f>
        <v>4.1891000000001677E-3</v>
      </c>
      <c r="G4" s="1" t="str">
        <f>IF(ISBLANK('2021'!G4),"",'2021'!G4-'2018'!G4)</f>
        <v/>
      </c>
      <c r="H4" s="1">
        <f>IF(ISBLANK('2021'!H4),"",'2021'!H4-'2018'!H4)</f>
        <v>5.1013000000000863E-3</v>
      </c>
      <c r="I4" s="1" t="str">
        <f>IF(ISBLANK('2021'!I4),"",'2021'!I4-'2018'!I4)</f>
        <v/>
      </c>
      <c r="J4" s="1" t="str">
        <f>IF(ISBLANK('2021'!J4),"",'2021'!J4-'2018'!J4)</f>
        <v/>
      </c>
      <c r="K4" s="1" t="str">
        <f>IF(ISBLANK('2021'!K4),"",'2021'!K4-'2018'!K4)</f>
        <v/>
      </c>
      <c r="L4" s="1">
        <f>IF(ISBLANK('2021'!L4),"",'2021'!L4-'2018'!L4)</f>
        <v>-1.8692600000000059E-2</v>
      </c>
      <c r="M4" s="1" t="str">
        <f>IF(ISBLANK('2021'!M4),"",'2021'!M4-'2018'!M4)</f>
        <v/>
      </c>
      <c r="N4" s="1" t="str">
        <f>IF(ISBLANK('2021'!N4),"",'2021'!N4-'2018'!N4)</f>
        <v/>
      </c>
      <c r="O4" s="1" t="str">
        <f>IF(ISBLANK('2021'!O4),"",'2021'!O4-'2018'!O4)</f>
        <v/>
      </c>
      <c r="P4" s="1" t="str">
        <f>IF(ISBLANK('2021'!P4),"",'2021'!P4-'2018'!P4)</f>
        <v/>
      </c>
      <c r="Q4" s="1" t="str">
        <f>IF(ISBLANK('2021'!Q4),"",'2021'!Q4-'2018'!Q4)</f>
        <v/>
      </c>
      <c r="R4" s="1" t="str">
        <f>IF(ISBLANK('2021'!R4),"",'2021'!R4-'2018'!R4)</f>
        <v/>
      </c>
      <c r="S4" s="1" t="str">
        <f>IF(ISBLANK('2021'!S4),"",'2021'!S4-'2018'!S4)</f>
        <v/>
      </c>
      <c r="T4" s="1" t="str">
        <f>IF(ISBLANK('2021'!T4),"",'2021'!T4-'2018'!T4)</f>
        <v/>
      </c>
      <c r="U4" s="1" t="str">
        <f>IF(ISBLANK('2021'!U4),"",'2021'!U4-'2018'!U4)</f>
        <v/>
      </c>
      <c r="V4" s="1" t="str">
        <f>IF(ISBLANK('2021'!V4),"",'2021'!V4-'2018'!V4)</f>
        <v/>
      </c>
      <c r="W4" s="1" t="str">
        <f>IF(ISBLANK('2021'!W4),"",'2021'!W4-'2018'!W4)</f>
        <v/>
      </c>
      <c r="X4" s="1" t="str">
        <f>IF(ISBLANK('2021'!X4),"",'2021'!X4-'2018'!X4)</f>
        <v/>
      </c>
      <c r="Y4" s="1" t="str">
        <f>IF(ISBLANK('2021'!Y4),"",'2021'!Y4-'2018'!Y4)</f>
        <v/>
      </c>
      <c r="Z4" s="1" t="str">
        <f>IF(ISBLANK('2021'!Z4),"",'2021'!Z4-'2018'!Z4)</f>
        <v/>
      </c>
      <c r="AA4" s="1" t="str">
        <f>IF(ISBLANK('2021'!AA4),"",'2021'!AA4-'2018'!AA4)</f>
        <v/>
      </c>
      <c r="AB4" s="1" t="str">
        <f>IF(ISBLANK('2021'!AB4),"",'2021'!AB4-'2018'!AB4)</f>
        <v/>
      </c>
      <c r="AC4" s="1" t="str">
        <f>IF(ISBLANK('2021'!AC4),"",'2021'!AC4-'2018'!AC4)</f>
        <v/>
      </c>
      <c r="AD4" s="1" t="str">
        <f>IF(ISBLANK('2021'!AD4),"",'2021'!AD4-'2018'!AD4)</f>
        <v/>
      </c>
      <c r="AE4" s="1" t="str">
        <f>IF(ISBLANK('2021'!AE4),"",'2021'!AE4-'2018'!AE4)</f>
        <v/>
      </c>
      <c r="AF4" s="1" t="str">
        <f>IF(ISBLANK('2021'!AF4),"",'2021'!AF4-'2018'!AF4)</f>
        <v/>
      </c>
      <c r="AG4" s="1" t="str">
        <f>IF(ISBLANK('2021'!AG4),"",'2021'!AG4-'2018'!AG4)</f>
        <v/>
      </c>
      <c r="AH4" s="1" t="str">
        <f>IF(ISBLANK('2021'!AH4),"",'2021'!AH4-'2018'!AH4)</f>
        <v/>
      </c>
      <c r="AI4" s="1" t="str">
        <f>IF(ISBLANK('2021'!AI4),"",'2021'!AI4-'2018'!AI4)</f>
        <v/>
      </c>
    </row>
    <row r="5" spans="3:35" x14ac:dyDescent="0.25">
      <c r="C5" t="str">
        <f t="shared" ref="C5:C27" si="1">DEC2BIN(ROW()-4,5)</f>
        <v>00001</v>
      </c>
      <c r="D5" s="1">
        <f>IF(ISBLANK('2021'!D5),"",'2021'!D5-'2018'!D5)</f>
        <v>-9.1010000000002478E-3</v>
      </c>
      <c r="E5" s="1">
        <f>IF(ISBLANK('2021'!E5),"",'2021'!E5-'2018'!E5)</f>
        <v>0</v>
      </c>
      <c r="F5" s="1">
        <f>IF(ISBLANK('2021'!F5),"",'2021'!F5-'2018'!F5)</f>
        <v>-4.9119000000001911E-3</v>
      </c>
      <c r="G5" s="1">
        <f>IF(ISBLANK('2021'!G5),"",'2021'!G5-'2018'!G5)</f>
        <v>7.0241400000000009E-2</v>
      </c>
      <c r="H5" s="1">
        <f>IF(ISBLANK('2021'!H5),"",'2021'!H5-'2018'!H5)</f>
        <v>-3.9997000000000504E-3</v>
      </c>
      <c r="I5" s="1">
        <f>IF(ISBLANK('2021'!I5),"",'2021'!I5-'2018'!I5)</f>
        <v>8.9293999999999762E-3</v>
      </c>
      <c r="J5" s="1">
        <f>IF(ISBLANK('2021'!J5),"",'2021'!J5-'2018'!J5)</f>
        <v>6.5898200000000351E-2</v>
      </c>
      <c r="K5" s="1" t="str">
        <f>IF(ISBLANK('2021'!K5),"",'2021'!K5-'2018'!K5)</f>
        <v/>
      </c>
      <c r="L5" s="1">
        <f>IF(ISBLANK('2021'!L5),"",'2021'!L5-'2018'!L5)</f>
        <v>-2.7793600000000085E-2</v>
      </c>
      <c r="M5" s="1">
        <f>IF(ISBLANK('2021'!M5),"",'2021'!M5-'2018'!M5)</f>
        <v>-2.3559899999999967E-2</v>
      </c>
      <c r="N5" s="1">
        <f>IF(ISBLANK('2021'!N5),"",'2021'!N5-'2018'!N5)</f>
        <v>-3.1501200000000118E-2</v>
      </c>
      <c r="O5" s="1" t="str">
        <f>IF(ISBLANK('2021'!O5),"",'2021'!O5-'2018'!O5)</f>
        <v/>
      </c>
      <c r="P5" s="1">
        <f>IF(ISBLANK('2021'!P5),"",'2021'!P5-'2018'!P5)</f>
        <v>-5.1107800000000037E-2</v>
      </c>
      <c r="Q5" s="1" t="str">
        <f>IF(ISBLANK('2021'!Q5),"",'2021'!Q5-'2018'!Q5)</f>
        <v/>
      </c>
      <c r="R5" s="1" t="str">
        <f>IF(ISBLANK('2021'!R5),"",'2021'!R5-'2018'!R5)</f>
        <v/>
      </c>
      <c r="S5" s="1" t="str">
        <f>IF(ISBLANK('2021'!S5),"",'2021'!S5-'2018'!S5)</f>
        <v/>
      </c>
      <c r="T5" s="1">
        <f>IF(ISBLANK('2021'!T5),"",'2021'!T5-'2018'!T5)</f>
        <v>-2.5547200000000103E-2</v>
      </c>
      <c r="U5" s="1" t="str">
        <f>IF(ISBLANK('2021'!U5),"",'2021'!U5-'2018'!U5)</f>
        <v/>
      </c>
      <c r="V5" s="1" t="str">
        <f>IF(ISBLANK('2021'!V5),"",'2021'!V5-'2018'!V5)</f>
        <v/>
      </c>
      <c r="W5" s="1" t="str">
        <f>IF(ISBLANK('2021'!W5),"",'2021'!W5-'2018'!W5)</f>
        <v/>
      </c>
      <c r="X5" s="1" t="str">
        <f>IF(ISBLANK('2021'!X5),"",'2021'!X5-'2018'!X5)</f>
        <v/>
      </c>
      <c r="Y5" s="1" t="str">
        <f>IF(ISBLANK('2021'!Y5),"",'2021'!Y5-'2018'!Y5)</f>
        <v/>
      </c>
      <c r="Z5" s="1" t="str">
        <f>IF(ISBLANK('2021'!Z5),"",'2021'!Z5-'2018'!Z5)</f>
        <v/>
      </c>
      <c r="AA5" s="1" t="str">
        <f>IF(ISBLANK('2021'!AA5),"",'2021'!AA5-'2018'!AA5)</f>
        <v/>
      </c>
      <c r="AB5" s="1" t="str">
        <f>IF(ISBLANK('2021'!AB5),"",'2021'!AB5-'2018'!AB5)</f>
        <v/>
      </c>
      <c r="AC5" s="1" t="str">
        <f>IF(ISBLANK('2021'!AC5),"",'2021'!AC5-'2018'!AC5)</f>
        <v/>
      </c>
      <c r="AD5" s="1" t="str">
        <f>IF(ISBLANK('2021'!AD5),"",'2021'!AD5-'2018'!AD5)</f>
        <v/>
      </c>
      <c r="AE5" s="1" t="str">
        <f>IF(ISBLANK('2021'!AE5),"",'2021'!AE5-'2018'!AE5)</f>
        <v/>
      </c>
      <c r="AF5" s="1" t="str">
        <f>IF(ISBLANK('2021'!AF5),"",'2021'!AF5-'2018'!AF5)</f>
        <v/>
      </c>
      <c r="AG5" s="1" t="str">
        <f>IF(ISBLANK('2021'!AG5),"",'2021'!AG5-'2018'!AG5)</f>
        <v/>
      </c>
      <c r="AH5" s="1" t="str">
        <f>IF(ISBLANK('2021'!AH5),"",'2021'!AH5-'2018'!AH5)</f>
        <v/>
      </c>
      <c r="AI5" s="1" t="str">
        <f>IF(ISBLANK('2021'!AI5),"",'2021'!AI5-'2018'!AI5)</f>
        <v/>
      </c>
    </row>
    <row r="6" spans="3:35" x14ac:dyDescent="0.25">
      <c r="C6" t="str">
        <f t="shared" si="1"/>
        <v>00010</v>
      </c>
      <c r="D6" s="1">
        <f>IF(ISBLANK('2021'!D6),"",'2021'!D6-'2018'!D6)</f>
        <v>-4.1891000000002787E-3</v>
      </c>
      <c r="E6" s="1">
        <f>IF(ISBLANK('2021'!E6),"",'2021'!E6-'2018'!E6)</f>
        <v>4.9118999999999691E-3</v>
      </c>
      <c r="F6" s="1">
        <f>IF(ISBLANK('2021'!F6),"",'2021'!F6-'2018'!F6)</f>
        <v>-2.2204460492503131E-16</v>
      </c>
      <c r="G6" s="1">
        <f>IF(ISBLANK('2021'!G6),"",'2021'!G6-'2018'!G6)</f>
        <v>7.5153299999999978E-2</v>
      </c>
      <c r="H6" s="1">
        <f>IF(ISBLANK('2021'!H6),"",'2021'!H6-'2018'!H6)</f>
        <v>9.1219999999991863E-4</v>
      </c>
      <c r="I6" s="1">
        <f>IF(ISBLANK('2021'!I6),"",'2021'!I6-'2018'!I6)</f>
        <v>1.3841299999999945E-2</v>
      </c>
      <c r="J6" s="1">
        <f>IF(ISBLANK('2021'!J6),"",'2021'!J6-'2018'!J6)</f>
        <v>7.081010000000032E-2</v>
      </c>
      <c r="K6" s="1" t="str">
        <f>IF(ISBLANK('2021'!K6),"",'2021'!K6-'2018'!K6)</f>
        <v/>
      </c>
      <c r="L6" s="1">
        <f>IF(ISBLANK('2021'!L6),"",'2021'!L6-'2018'!L6)</f>
        <v>-2.2881700000000116E-2</v>
      </c>
      <c r="M6" s="1">
        <f>IF(ISBLANK('2021'!M6),"",'2021'!M6-'2018'!M6)</f>
        <v>-1.8647999999999998E-2</v>
      </c>
      <c r="N6" s="1">
        <f>IF(ISBLANK('2021'!N6),"",'2021'!N6-'2018'!N6)</f>
        <v>-2.6589299999999927E-2</v>
      </c>
      <c r="O6" s="1" t="str">
        <f>IF(ISBLANK('2021'!O6),"",'2021'!O6-'2018'!O6)</f>
        <v/>
      </c>
      <c r="P6" s="1">
        <f>IF(ISBLANK('2021'!P6),"",'2021'!P6-'2018'!P6)</f>
        <v>-4.6195900000000067E-2</v>
      </c>
      <c r="Q6" s="1" t="str">
        <f>IF(ISBLANK('2021'!Q6),"",'2021'!Q6-'2018'!Q6)</f>
        <v/>
      </c>
      <c r="R6" s="1" t="str">
        <f>IF(ISBLANK('2021'!R6),"",'2021'!R6-'2018'!R6)</f>
        <v/>
      </c>
      <c r="S6" s="1" t="str">
        <f>IF(ISBLANK('2021'!S6),"",'2021'!S6-'2018'!S6)</f>
        <v/>
      </c>
      <c r="T6" s="1">
        <f>IF(ISBLANK('2021'!T6),"",'2021'!T6-'2018'!T6)</f>
        <v>-2.0635300000000356E-2</v>
      </c>
      <c r="U6" s="1" t="str">
        <f>IF(ISBLANK('2021'!U6),"",'2021'!U6-'2018'!U6)</f>
        <v/>
      </c>
      <c r="V6" s="1" t="str">
        <f>IF(ISBLANK('2021'!V6),"",'2021'!V6-'2018'!V6)</f>
        <v/>
      </c>
      <c r="W6" s="1" t="str">
        <f>IF(ISBLANK('2021'!W6),"",'2021'!W6-'2018'!W6)</f>
        <v/>
      </c>
      <c r="X6" s="1" t="str">
        <f>IF(ISBLANK('2021'!X6),"",'2021'!X6-'2018'!X6)</f>
        <v/>
      </c>
      <c r="Y6" s="1" t="str">
        <f>IF(ISBLANK('2021'!Y6),"",'2021'!Y6-'2018'!Y6)</f>
        <v/>
      </c>
      <c r="Z6" s="1" t="str">
        <f>IF(ISBLANK('2021'!Z6),"",'2021'!Z6-'2018'!Z6)</f>
        <v/>
      </c>
      <c r="AA6" s="1" t="str">
        <f>IF(ISBLANK('2021'!AA6),"",'2021'!AA6-'2018'!AA6)</f>
        <v/>
      </c>
      <c r="AB6" s="1" t="str">
        <f>IF(ISBLANK('2021'!AB6),"",'2021'!AB6-'2018'!AB6)</f>
        <v/>
      </c>
      <c r="AC6" s="1" t="str">
        <f>IF(ISBLANK('2021'!AC6),"",'2021'!AC6-'2018'!AC6)</f>
        <v/>
      </c>
      <c r="AD6" s="1" t="str">
        <f>IF(ISBLANK('2021'!AD6),"",'2021'!AD6-'2018'!AD6)</f>
        <v/>
      </c>
      <c r="AE6" s="1" t="str">
        <f>IF(ISBLANK('2021'!AE6),"",'2021'!AE6-'2018'!AE6)</f>
        <v/>
      </c>
      <c r="AF6" s="1" t="str">
        <f>IF(ISBLANK('2021'!AF6),"",'2021'!AF6-'2018'!AF6)</f>
        <v/>
      </c>
      <c r="AG6" s="1" t="str">
        <f>IF(ISBLANK('2021'!AG6),"",'2021'!AG6-'2018'!AG6)</f>
        <v/>
      </c>
      <c r="AH6" s="1" t="str">
        <f>IF(ISBLANK('2021'!AH6),"",'2021'!AH6-'2018'!AH6)</f>
        <v/>
      </c>
      <c r="AI6" s="1" t="str">
        <f>IF(ISBLANK('2021'!AI6),"",'2021'!AI6-'2018'!AI6)</f>
        <v/>
      </c>
    </row>
    <row r="7" spans="3:35" x14ac:dyDescent="0.25">
      <c r="C7" t="str">
        <f t="shared" si="1"/>
        <v>00011</v>
      </c>
      <c r="D7" s="1">
        <f>IF(ISBLANK('2021'!D7),"",'2021'!D7-'2018'!D7)</f>
        <v>-7.9342400000000257E-2</v>
      </c>
      <c r="E7" s="1">
        <f>IF(ISBLANK('2021'!E7),"",'2021'!E7-'2018'!E7)</f>
        <v>-7.0241400000000009E-2</v>
      </c>
      <c r="F7" s="1">
        <f>IF(ISBLANK('2021'!F7),"",'2021'!F7-'2018'!F7)</f>
        <v>-7.51533000000002E-2</v>
      </c>
      <c r="G7" s="1">
        <f>IF(ISBLANK('2021'!G7),"",'2021'!G7-'2018'!G7)</f>
        <v>0</v>
      </c>
      <c r="H7" s="1">
        <f>IF(ISBLANK('2021'!H7),"",'2021'!H7-'2018'!H7)</f>
        <v>-7.424110000000006E-2</v>
      </c>
      <c r="I7" s="1">
        <f>IF(ISBLANK('2021'!I7),"",'2021'!I7-'2018'!I7)</f>
        <v>-6.1312000000000033E-2</v>
      </c>
      <c r="J7" s="1">
        <f>IF(ISBLANK('2021'!J7),"",'2021'!J7-'2018'!J7)</f>
        <v>-4.3432000000001025E-3</v>
      </c>
      <c r="K7" s="1">
        <f>IF(ISBLANK('2021'!K7),"",'2021'!K7-'2018'!K7)</f>
        <v>1.2513600000000125E-2</v>
      </c>
      <c r="L7" s="1">
        <f>IF(ISBLANK('2021'!L7),"",'2021'!L7-'2018'!L7)</f>
        <v>-9.8035000000000316E-2</v>
      </c>
      <c r="M7" s="1">
        <f>IF(ISBLANK('2021'!M7),"",'2021'!M7-'2018'!M7)</f>
        <v>-9.3801299999999976E-2</v>
      </c>
      <c r="N7" s="1">
        <f>IF(ISBLANK('2021'!N7),"",'2021'!N7-'2018'!N7)</f>
        <v>-0.10174260000000013</v>
      </c>
      <c r="O7" s="1">
        <f>IF(ISBLANK('2021'!O7),"",'2021'!O7-'2018'!O7)</f>
        <v>-8.2042800000000415E-2</v>
      </c>
      <c r="P7" s="1">
        <f>IF(ISBLANK('2021'!P7),"",'2021'!P7-'2018'!P7)</f>
        <v>-0.12134920000000005</v>
      </c>
      <c r="Q7" s="1">
        <f>IF(ISBLANK('2021'!Q7),"",'2021'!Q7-'2018'!Q7)</f>
        <v>-0.12248899999999985</v>
      </c>
      <c r="R7" s="1">
        <f>IF(ISBLANK('2021'!R7),"",'2021'!R7-'2018'!R7)</f>
        <v>-8.3919400000000088E-2</v>
      </c>
      <c r="S7" s="1" t="str">
        <f>IF(ISBLANK('2021'!S7),"",'2021'!S7-'2018'!S7)</f>
        <v/>
      </c>
      <c r="T7" s="1">
        <f>IF(ISBLANK('2021'!T7),"",'2021'!T7-'2018'!T7)</f>
        <v>-9.5788600000000113E-2</v>
      </c>
      <c r="U7" s="1">
        <f>IF(ISBLANK('2021'!U7),"",'2021'!U7-'2018'!U7)</f>
        <v>-9.01478E-2</v>
      </c>
      <c r="V7" s="1">
        <f>IF(ISBLANK('2021'!V7),"",'2021'!V7-'2018'!V7)</f>
        <v>-9.7948900000000005E-2</v>
      </c>
      <c r="W7" s="1" t="str">
        <f>IF(ISBLANK('2021'!W7),"",'2021'!W7-'2018'!W7)</f>
        <v/>
      </c>
      <c r="X7" s="1">
        <f>IF(ISBLANK('2021'!X7),"",'2021'!X7-'2018'!X7)</f>
        <v>-8.2100699999999804E-2</v>
      </c>
      <c r="Y7" s="1" t="str">
        <f>IF(ISBLANK('2021'!Y7),"",'2021'!Y7-'2018'!Y7)</f>
        <v/>
      </c>
      <c r="Z7" s="1" t="str">
        <f>IF(ISBLANK('2021'!Z7),"",'2021'!Z7-'2018'!Z7)</f>
        <v/>
      </c>
      <c r="AA7" s="1" t="str">
        <f>IF(ISBLANK('2021'!AA7),"",'2021'!AA7-'2018'!AA7)</f>
        <v/>
      </c>
      <c r="AB7" s="1">
        <f>IF(ISBLANK('2021'!AB7),"",'2021'!AB7-'2018'!AB7)</f>
        <v>-0.10135950000000005</v>
      </c>
      <c r="AC7" s="1" t="str">
        <f>IF(ISBLANK('2021'!AC7),"",'2021'!AC7-'2018'!AC7)</f>
        <v/>
      </c>
      <c r="AD7" s="1" t="str">
        <f>IF(ISBLANK('2021'!AD7),"",'2021'!AD7-'2018'!AD7)</f>
        <v/>
      </c>
      <c r="AE7" s="1" t="str">
        <f>IF(ISBLANK('2021'!AE7),"",'2021'!AE7-'2018'!AE7)</f>
        <v/>
      </c>
      <c r="AF7" s="1" t="str">
        <f>IF(ISBLANK('2021'!AF7),"",'2021'!AF7-'2018'!AF7)</f>
        <v/>
      </c>
      <c r="AG7" s="1" t="str">
        <f>IF(ISBLANK('2021'!AG7),"",'2021'!AG7-'2018'!AG7)</f>
        <v/>
      </c>
      <c r="AH7" s="1" t="str">
        <f>IF(ISBLANK('2021'!AH7),"",'2021'!AH7-'2018'!AH7)</f>
        <v/>
      </c>
      <c r="AI7" s="1" t="str">
        <f>IF(ISBLANK('2021'!AI7),"",'2021'!AI7-'2018'!AI7)</f>
        <v/>
      </c>
    </row>
    <row r="8" spans="3:35" x14ac:dyDescent="0.25">
      <c r="C8" t="str">
        <f t="shared" si="1"/>
        <v>00100</v>
      </c>
      <c r="D8" s="1">
        <f>IF(ISBLANK('2021'!D8),"",'2021'!D8-'2018'!D8)</f>
        <v>-5.1013000000001973E-3</v>
      </c>
      <c r="E8" s="1">
        <f>IF(ISBLANK('2021'!E8),"",'2021'!E8-'2018'!E8)</f>
        <v>3.9997000000000504E-3</v>
      </c>
      <c r="F8" s="1">
        <f>IF(ISBLANK('2021'!F8),"",'2021'!F8-'2018'!F8)</f>
        <v>-9.1220000000014068E-4</v>
      </c>
      <c r="G8" s="1" t="str">
        <f>IF(ISBLANK('2021'!G8),"",'2021'!G8-'2018'!G8)</f>
        <v/>
      </c>
      <c r="H8" s="1">
        <f>IF(ISBLANK('2021'!H8),"",'2021'!H8-'2018'!H8)</f>
        <v>0</v>
      </c>
      <c r="I8" s="1">
        <f>IF(ISBLANK('2021'!I8),"",'2021'!I8-'2018'!I8)</f>
        <v>1.2929100000000027E-2</v>
      </c>
      <c r="J8" s="1">
        <f>IF(ISBLANK('2021'!J8),"",'2021'!J8-'2018'!J8)</f>
        <v>6.9897900000000401E-2</v>
      </c>
      <c r="K8" s="1" t="str">
        <f>IF(ISBLANK('2021'!K8),"",'2021'!K8-'2018'!K8)</f>
        <v/>
      </c>
      <c r="L8" s="1">
        <f>IF(ISBLANK('2021'!L8),"",'2021'!L8-'2018'!L8)</f>
        <v>-2.3793900000000034E-2</v>
      </c>
      <c r="M8" s="1">
        <f>IF(ISBLANK('2021'!M8),"",'2021'!M8-'2018'!M8)</f>
        <v>-1.9560199999999917E-2</v>
      </c>
      <c r="N8" s="1">
        <f>IF(ISBLANK('2021'!N8),"",'2021'!N8-'2018'!N8)</f>
        <v>-2.7501499999999846E-2</v>
      </c>
      <c r="O8" s="1" t="str">
        <f>IF(ISBLANK('2021'!O8),"",'2021'!O8-'2018'!O8)</f>
        <v/>
      </c>
      <c r="P8" s="1">
        <f>IF(ISBLANK('2021'!P8),"",'2021'!P8-'2018'!P8)</f>
        <v>-4.7108099999999986E-2</v>
      </c>
      <c r="Q8" s="1" t="str">
        <f>IF(ISBLANK('2021'!Q8),"",'2021'!Q8-'2018'!Q8)</f>
        <v/>
      </c>
      <c r="R8" s="1" t="str">
        <f>IF(ISBLANK('2021'!R8),"",'2021'!R8-'2018'!R8)</f>
        <v/>
      </c>
      <c r="S8" s="1" t="str">
        <f>IF(ISBLANK('2021'!S8),"",'2021'!S8-'2018'!S8)</f>
        <v/>
      </c>
      <c r="T8" s="1">
        <f>IF(ISBLANK('2021'!T8),"",'2021'!T8-'2018'!T8)</f>
        <v>-2.1547500000000053E-2</v>
      </c>
      <c r="U8" s="1" t="str">
        <f>IF(ISBLANK('2021'!U8),"",'2021'!U8-'2018'!U8)</f>
        <v/>
      </c>
      <c r="V8" s="1" t="str">
        <f>IF(ISBLANK('2021'!V8),"",'2021'!V8-'2018'!V8)</f>
        <v/>
      </c>
      <c r="W8" s="1" t="str">
        <f>IF(ISBLANK('2021'!W8),"",'2021'!W8-'2018'!W8)</f>
        <v/>
      </c>
      <c r="X8" s="1" t="str">
        <f>IF(ISBLANK('2021'!X8),"",'2021'!X8-'2018'!X8)</f>
        <v/>
      </c>
      <c r="Y8" s="1" t="str">
        <f>IF(ISBLANK('2021'!Y8),"",'2021'!Y8-'2018'!Y8)</f>
        <v/>
      </c>
      <c r="Z8" s="1" t="str">
        <f>IF(ISBLANK('2021'!Z8),"",'2021'!Z8-'2018'!Z8)</f>
        <v/>
      </c>
      <c r="AA8" s="1" t="str">
        <f>IF(ISBLANK('2021'!AA8),"",'2021'!AA8-'2018'!AA8)</f>
        <v/>
      </c>
      <c r="AB8" s="1" t="str">
        <f>IF(ISBLANK('2021'!AB8),"",'2021'!AB8-'2018'!AB8)</f>
        <v/>
      </c>
      <c r="AC8" s="1" t="str">
        <f>IF(ISBLANK('2021'!AC8),"",'2021'!AC8-'2018'!AC8)</f>
        <v/>
      </c>
      <c r="AD8" s="1" t="str">
        <f>IF(ISBLANK('2021'!AD8),"",'2021'!AD8-'2018'!AD8)</f>
        <v/>
      </c>
      <c r="AE8" s="1" t="str">
        <f>IF(ISBLANK('2021'!AE8),"",'2021'!AE8-'2018'!AE8)</f>
        <v/>
      </c>
      <c r="AF8" s="1" t="str">
        <f>IF(ISBLANK('2021'!AF8),"",'2021'!AF8-'2018'!AF8)</f>
        <v/>
      </c>
      <c r="AG8" s="1" t="str">
        <f>IF(ISBLANK('2021'!AG8),"",'2021'!AG8-'2018'!AG8)</f>
        <v/>
      </c>
      <c r="AH8" s="1" t="str">
        <f>IF(ISBLANK('2021'!AH8),"",'2021'!AH8-'2018'!AH8)</f>
        <v/>
      </c>
      <c r="AI8" s="1" t="str">
        <f>IF(ISBLANK('2021'!AI8),"",'2021'!AI8-'2018'!AI8)</f>
        <v/>
      </c>
    </row>
    <row r="9" spans="3:35" x14ac:dyDescent="0.25">
      <c r="C9" t="str">
        <f t="shared" si="1"/>
        <v>00101</v>
      </c>
      <c r="D9" s="1">
        <f>IF(ISBLANK('2021'!D9),"",'2021'!D9-'2018'!D9)</f>
        <v>-1.8030400000000224E-2</v>
      </c>
      <c r="E9" s="1">
        <f>IF(ISBLANK('2021'!E9),"",'2021'!E9-'2018'!E9)</f>
        <v>-8.9293999999999762E-3</v>
      </c>
      <c r="F9" s="1">
        <f>IF(ISBLANK('2021'!F9),"",'2021'!F9-'2018'!F9)</f>
        <v>-1.3841300000000167E-2</v>
      </c>
      <c r="G9" s="1">
        <f>IF(ISBLANK('2021'!G9),"",'2021'!G9-'2018'!G9)</f>
        <v>6.1312000000000033E-2</v>
      </c>
      <c r="H9" s="1">
        <f>IF(ISBLANK('2021'!H9),"",'2021'!H9-'2018'!H9)</f>
        <v>-1.2929100000000027E-2</v>
      </c>
      <c r="I9" s="1">
        <f>IF(ISBLANK('2021'!I9),"",'2021'!I9-'2018'!I9)</f>
        <v>0</v>
      </c>
      <c r="J9" s="1">
        <f>IF(ISBLANK('2021'!J9),"",'2021'!J9-'2018'!J9)</f>
        <v>5.6968799999999931E-2</v>
      </c>
      <c r="K9" s="1">
        <f>IF(ISBLANK('2021'!K9),"",'2021'!K9-'2018'!K9)</f>
        <v>7.3825600000000158E-2</v>
      </c>
      <c r="L9" s="1">
        <f>IF(ISBLANK('2021'!L9),"",'2021'!L9-'2018'!L9)</f>
        <v>-3.6723000000000283E-2</v>
      </c>
      <c r="M9" s="1">
        <f>IF(ISBLANK('2021'!M9),"",'2021'!M9-'2018'!M9)</f>
        <v>-3.2489299999999943E-2</v>
      </c>
      <c r="N9" s="1">
        <f>IF(ISBLANK('2021'!N9),"",'2021'!N9-'2018'!N9)</f>
        <v>-4.0430600000000094E-2</v>
      </c>
      <c r="O9" s="1">
        <f>IF(ISBLANK('2021'!O9),"",'2021'!O9-'2018'!O9)</f>
        <v>-2.0730800000000382E-2</v>
      </c>
      <c r="P9" s="1">
        <f>IF(ISBLANK('2021'!P9),"",'2021'!P9-'2018'!P9)</f>
        <v>-6.0037200000000013E-2</v>
      </c>
      <c r="Q9" s="1">
        <f>IF(ISBLANK('2021'!Q9),"",'2021'!Q9-'2018'!Q9)</f>
        <v>-6.1176999999999815E-2</v>
      </c>
      <c r="R9" s="1">
        <f>IF(ISBLANK('2021'!R9),"",'2021'!R9-'2018'!R9)</f>
        <v>-2.2607400000000055E-2</v>
      </c>
      <c r="S9" s="1" t="str">
        <f>IF(ISBLANK('2021'!S9),"",'2021'!S9-'2018'!S9)</f>
        <v/>
      </c>
      <c r="T9" s="1">
        <f>IF(ISBLANK('2021'!T9),"",'2021'!T9-'2018'!T9)</f>
        <v>-3.4476600000000079E-2</v>
      </c>
      <c r="U9" s="1">
        <f>IF(ISBLANK('2021'!U9),"",'2021'!U9-'2018'!U9)</f>
        <v>-2.8835799999999523E-2</v>
      </c>
      <c r="V9" s="1">
        <f>IF(ISBLANK('2021'!V9),"",'2021'!V9-'2018'!V9)</f>
        <v>-3.6636899999999528E-2</v>
      </c>
      <c r="W9" s="1" t="str">
        <f>IF(ISBLANK('2021'!W9),"",'2021'!W9-'2018'!W9)</f>
        <v/>
      </c>
      <c r="X9" s="1">
        <f>IF(ISBLANK('2021'!X9),"",'2021'!X9-'2018'!X9)</f>
        <v>-2.0788699999999771E-2</v>
      </c>
      <c r="Y9" s="1" t="str">
        <f>IF(ISBLANK('2021'!Y9),"",'2021'!Y9-'2018'!Y9)</f>
        <v/>
      </c>
      <c r="Z9" s="1" t="str">
        <f>IF(ISBLANK('2021'!Z9),"",'2021'!Z9-'2018'!Z9)</f>
        <v/>
      </c>
      <c r="AA9" s="1" t="str">
        <f>IF(ISBLANK('2021'!AA9),"",'2021'!AA9-'2018'!AA9)</f>
        <v/>
      </c>
      <c r="AB9" s="1">
        <f>IF(ISBLANK('2021'!AB9),"",'2021'!AB9-'2018'!AB9)</f>
        <v>-4.0047500000000014E-2</v>
      </c>
      <c r="AC9" s="1" t="str">
        <f>IF(ISBLANK('2021'!AC9),"",'2021'!AC9-'2018'!AC9)</f>
        <v/>
      </c>
      <c r="AD9" s="1" t="str">
        <f>IF(ISBLANK('2021'!AD9),"",'2021'!AD9-'2018'!AD9)</f>
        <v/>
      </c>
      <c r="AE9" s="1" t="str">
        <f>IF(ISBLANK('2021'!AE9),"",'2021'!AE9-'2018'!AE9)</f>
        <v/>
      </c>
      <c r="AF9" s="1" t="str">
        <f>IF(ISBLANK('2021'!AF9),"",'2021'!AF9-'2018'!AF9)</f>
        <v/>
      </c>
      <c r="AG9" s="1" t="str">
        <f>IF(ISBLANK('2021'!AG9),"",'2021'!AG9-'2018'!AG9)</f>
        <v/>
      </c>
      <c r="AH9" s="1" t="str">
        <f>IF(ISBLANK('2021'!AH9),"",'2021'!AH9-'2018'!AH9)</f>
        <v/>
      </c>
      <c r="AI9" s="1" t="str">
        <f>IF(ISBLANK('2021'!AI9),"",'2021'!AI9-'2018'!AI9)</f>
        <v/>
      </c>
    </row>
    <row r="10" spans="3:35" x14ac:dyDescent="0.25">
      <c r="C10" t="str">
        <f t="shared" si="1"/>
        <v>00110</v>
      </c>
      <c r="D10" s="1">
        <f>IF(ISBLANK('2021'!D10),"",'2021'!D10-'2018'!D10)</f>
        <v>-7.4999200000000377E-2</v>
      </c>
      <c r="E10" s="1">
        <f>IF(ISBLANK('2021'!E10),"",'2021'!E10-'2018'!E10)</f>
        <v>-6.5898200000000129E-2</v>
      </c>
      <c r="F10" s="1">
        <f>IF(ISBLANK('2021'!F10),"",'2021'!F10-'2018'!F10)</f>
        <v>-7.081010000000032E-2</v>
      </c>
      <c r="G10" s="1">
        <f>IF(ISBLANK('2021'!G10),"",'2021'!G10-'2018'!G10)</f>
        <v>4.3431999999998805E-3</v>
      </c>
      <c r="H10" s="1">
        <f>IF(ISBLANK('2021'!H10),"",'2021'!H10-'2018'!H10)</f>
        <v>-6.9897900000000179E-2</v>
      </c>
      <c r="I10" s="1">
        <f>IF(ISBLANK('2021'!I10),"",'2021'!I10-'2018'!I10)</f>
        <v>-5.6968800000000153E-2</v>
      </c>
      <c r="J10" s="1">
        <f>IF(ISBLANK('2021'!J10),"",'2021'!J10-'2018'!J10)</f>
        <v>-2.2204460492503131E-16</v>
      </c>
      <c r="K10" s="1">
        <f>IF(ISBLANK('2021'!K10),"",'2021'!K10-'2018'!K10)</f>
        <v>1.6856799999999783E-2</v>
      </c>
      <c r="L10" s="1">
        <f>IF(ISBLANK('2021'!L10),"",'2021'!L10-'2018'!L10)</f>
        <v>-9.3691800000000436E-2</v>
      </c>
      <c r="M10" s="1">
        <f>IF(ISBLANK('2021'!M10),"",'2021'!M10-'2018'!M10)</f>
        <v>-8.9458100000000096E-2</v>
      </c>
      <c r="N10" s="1">
        <f>IF(ISBLANK('2021'!N10),"",'2021'!N10-'2018'!N10)</f>
        <v>-9.7399400000000247E-2</v>
      </c>
      <c r="O10" s="1">
        <f>IF(ISBLANK('2021'!O10),"",'2021'!O10-'2018'!O10)</f>
        <v>-7.7699600000000757E-2</v>
      </c>
      <c r="P10" s="1">
        <f>IF(ISBLANK('2021'!P10),"",'2021'!P10-'2018'!P10)</f>
        <v>-0.11700600000000017</v>
      </c>
      <c r="Q10" s="1">
        <f>IF(ISBLANK('2021'!Q10),"",'2021'!Q10-'2018'!Q10)</f>
        <v>-0.11814579999999997</v>
      </c>
      <c r="R10" s="1">
        <f>IF(ISBLANK('2021'!R10),"",'2021'!R10-'2018'!R10)</f>
        <v>-7.9576200000000208E-2</v>
      </c>
      <c r="S10" s="1" t="str">
        <f>IF(ISBLANK('2021'!S10),"",'2021'!S10-'2018'!S10)</f>
        <v/>
      </c>
      <c r="T10" s="1">
        <f>IF(ISBLANK('2021'!T10),"",'2021'!T10-'2018'!T10)</f>
        <v>-9.1445400000000232E-2</v>
      </c>
      <c r="U10" s="1">
        <f>IF(ISBLANK('2021'!U10),"",'2021'!U10-'2018'!U10)</f>
        <v>-8.5804599999999898E-2</v>
      </c>
      <c r="V10" s="1">
        <f>IF(ISBLANK('2021'!V10),"",'2021'!V10-'2018'!V10)</f>
        <v>-9.3605699999999903E-2</v>
      </c>
      <c r="W10" s="1" t="str">
        <f>IF(ISBLANK('2021'!W10),"",'2021'!W10-'2018'!W10)</f>
        <v/>
      </c>
      <c r="X10" s="1">
        <f>IF(ISBLANK('2021'!X10),"",'2021'!X10-'2018'!X10)</f>
        <v>-7.7757500000000146E-2</v>
      </c>
      <c r="Y10" s="1" t="str">
        <f>IF(ISBLANK('2021'!Y10),"",'2021'!Y10-'2018'!Y10)</f>
        <v/>
      </c>
      <c r="Z10" s="1" t="str">
        <f>IF(ISBLANK('2021'!Z10),"",'2021'!Z10-'2018'!Z10)</f>
        <v/>
      </c>
      <c r="AA10" s="1" t="str">
        <f>IF(ISBLANK('2021'!AA10),"",'2021'!AA10-'2018'!AA10)</f>
        <v/>
      </c>
      <c r="AB10" s="1">
        <f>IF(ISBLANK('2021'!AB10),"",'2021'!AB10-'2018'!AB10)</f>
        <v>-9.7016300000000388E-2</v>
      </c>
      <c r="AC10" s="1" t="str">
        <f>IF(ISBLANK('2021'!AC10),"",'2021'!AC10-'2018'!AC10)</f>
        <v/>
      </c>
      <c r="AD10" s="1" t="str">
        <f>IF(ISBLANK('2021'!AD10),"",'2021'!AD10-'2018'!AD10)</f>
        <v/>
      </c>
      <c r="AE10" s="1" t="str">
        <f>IF(ISBLANK('2021'!AE10),"",'2021'!AE10-'2018'!AE10)</f>
        <v/>
      </c>
      <c r="AF10" s="1" t="str">
        <f>IF(ISBLANK('2021'!AF10),"",'2021'!AF10-'2018'!AF10)</f>
        <v/>
      </c>
      <c r="AG10" s="1" t="str">
        <f>IF(ISBLANK('2021'!AG10),"",'2021'!AG10-'2018'!AG10)</f>
        <v/>
      </c>
      <c r="AH10" s="1" t="str">
        <f>IF(ISBLANK('2021'!AH10),"",'2021'!AH10-'2018'!AH10)</f>
        <v/>
      </c>
      <c r="AI10" s="1" t="str">
        <f>IF(ISBLANK('2021'!AI10),"",'2021'!AI10-'2018'!AI10)</f>
        <v/>
      </c>
    </row>
    <row r="11" spans="3:35" x14ac:dyDescent="0.25">
      <c r="C11" t="str">
        <f t="shared" si="1"/>
        <v>00111</v>
      </c>
      <c r="D11" s="1">
        <f>IF(ISBLANK('2021'!D11),"",'2021'!D11-'2018'!D11)</f>
        <v>-9.1856000000000382E-2</v>
      </c>
      <c r="E11" s="1">
        <f>IF(ISBLANK('2021'!E11),"",'2021'!E11-'2018'!E11)</f>
        <v>-8.2755000000000134E-2</v>
      </c>
      <c r="F11" s="1">
        <f>IF(ISBLANK('2021'!F11),"",'2021'!F11-'2018'!F11)</f>
        <v>-8.7666900000000325E-2</v>
      </c>
      <c r="G11" s="1">
        <f>IF(ISBLANK('2021'!G11),"",'2021'!G11-'2018'!G11)</f>
        <v>-1.2513600000000125E-2</v>
      </c>
      <c r="H11" s="1">
        <f>IF(ISBLANK('2021'!H11),"",'2021'!H11-'2018'!H11)</f>
        <v>-8.6754700000000184E-2</v>
      </c>
      <c r="I11" s="1">
        <f>IF(ISBLANK('2021'!I11),"",'2021'!I11-'2018'!I11)</f>
        <v>-7.3825600000000158E-2</v>
      </c>
      <c r="J11" s="1">
        <f>IF(ISBLANK('2021'!J11),"",'2021'!J11-'2018'!J11)</f>
        <v>-1.6856800000000227E-2</v>
      </c>
      <c r="K11" s="1">
        <f>IF(ISBLANK('2021'!K11),"",'2021'!K11-'2018'!K11)</f>
        <v>0</v>
      </c>
      <c r="L11" s="1">
        <f>IF(ISBLANK('2021'!L11),"",'2021'!L11-'2018'!L11)</f>
        <v>-0.11054860000000044</v>
      </c>
      <c r="M11" s="1">
        <f>IF(ISBLANK('2021'!M11),"",'2021'!M11-'2018'!M11)</f>
        <v>-0.1063149000000001</v>
      </c>
      <c r="N11" s="1">
        <f>IF(ISBLANK('2021'!N11),"",'2021'!N11-'2018'!N11)</f>
        <v>-0.11425620000000025</v>
      </c>
      <c r="O11" s="1">
        <f>IF(ISBLANK('2021'!O11),"",'2021'!O11-'2018'!O11)</f>
        <v>-9.455640000000054E-2</v>
      </c>
      <c r="P11" s="1">
        <f>IF(ISBLANK('2021'!P11),"",'2021'!P11-'2018'!P11)</f>
        <v>-0.13386280000000017</v>
      </c>
      <c r="Q11" s="1">
        <f>IF(ISBLANK('2021'!Q11),"",'2021'!Q11-'2018'!Q11)</f>
        <v>-0.13500259999999997</v>
      </c>
      <c r="R11" s="1">
        <f>IF(ISBLANK('2021'!R11),"",'2021'!R11-'2018'!R11)</f>
        <v>-9.6433000000000213E-2</v>
      </c>
      <c r="S11" s="1">
        <f>IF(ISBLANK('2021'!S11),"",'2021'!S11-'2018'!S11)</f>
        <v>1.6510999999999498E-2</v>
      </c>
      <c r="T11" s="1">
        <f>IF(ISBLANK('2021'!T11),"",'2021'!T11-'2018'!T11)</f>
        <v>-0.10830220000000024</v>
      </c>
      <c r="U11" s="1">
        <f>IF(ISBLANK('2021'!U11),"",'2021'!U11-'2018'!U11)</f>
        <v>-0.10266140000000012</v>
      </c>
      <c r="V11" s="1">
        <f>IF(ISBLANK('2021'!V11),"",'2021'!V11-'2018'!V11)</f>
        <v>-0.11046250000000013</v>
      </c>
      <c r="W11" s="1">
        <f>IF(ISBLANK('2021'!W11),"",'2021'!W11-'2018'!W11)</f>
        <v>-9.424240000000017E-2</v>
      </c>
      <c r="X11" s="1">
        <f>IF(ISBLANK('2021'!X11),"",'2021'!X11-'2018'!X11)</f>
        <v>-9.4614299999999929E-2</v>
      </c>
      <c r="Y11" s="1">
        <f>IF(ISBLANK('2021'!Y11),"",'2021'!Y11-'2018'!Y11)</f>
        <v>-9.5446200000000481E-2</v>
      </c>
      <c r="Z11" s="1">
        <f>IF(ISBLANK('2021'!Z11),"",'2021'!Z11-'2018'!Z11)</f>
        <v>-8.538699999999988E-2</v>
      </c>
      <c r="AA11" s="1" t="str">
        <f>IF(ISBLANK('2021'!AA11),"",'2021'!AA11-'2018'!AA11)</f>
        <v/>
      </c>
      <c r="AB11" s="1">
        <f>IF(ISBLANK('2021'!AB11),"",'2021'!AB11-'2018'!AB11)</f>
        <v>-0.11387310000000017</v>
      </c>
      <c r="AC11" s="1">
        <f>IF(ISBLANK('2021'!AC11),"",'2021'!AC11-'2018'!AC11)</f>
        <v>-0.11387310000000017</v>
      </c>
      <c r="AD11" s="1">
        <f>IF(ISBLANK('2021'!AD11),"",'2021'!AD11-'2018'!AD11)</f>
        <v>-0.11387310000000017</v>
      </c>
      <c r="AE11" s="1" t="str">
        <f>IF(ISBLANK('2021'!AE11),"",'2021'!AE11-'2018'!AE11)</f>
        <v/>
      </c>
      <c r="AF11" s="1">
        <f>IF(ISBLANK('2021'!AF11),"",'2021'!AF11-'2018'!AF11)</f>
        <v>-0.11387310000000017</v>
      </c>
      <c r="AG11" s="1" t="str">
        <f>IF(ISBLANK('2021'!AG11),"",'2021'!AG11-'2018'!AG11)</f>
        <v/>
      </c>
      <c r="AH11" s="1" t="str">
        <f>IF(ISBLANK('2021'!AH11),"",'2021'!AH11-'2018'!AH11)</f>
        <v/>
      </c>
      <c r="AI11" s="1" t="str">
        <f>IF(ISBLANK('2021'!AI11),"",'2021'!AI11-'2018'!AI11)</f>
        <v/>
      </c>
    </row>
    <row r="12" spans="3:35" x14ac:dyDescent="0.25">
      <c r="C12" t="str">
        <f t="shared" si="1"/>
        <v>01000</v>
      </c>
      <c r="D12" s="1" t="str">
        <f>IF(ISBLANK('2021'!D12),"",'2021'!D12-'2018'!D12)</f>
        <v/>
      </c>
      <c r="E12" s="1" t="str">
        <f>IF(ISBLANK('2021'!E12),"",'2021'!E12-'2018'!E12)</f>
        <v/>
      </c>
      <c r="F12" s="1" t="str">
        <f>IF(ISBLANK('2021'!F12),"",'2021'!F12-'2018'!F12)</f>
        <v/>
      </c>
      <c r="G12" s="1" t="str">
        <f>IF(ISBLANK('2021'!G12),"",'2021'!G12-'2018'!G12)</f>
        <v/>
      </c>
      <c r="H12" s="1" t="str">
        <f>IF(ISBLANK('2021'!H12),"",'2021'!H12-'2018'!H12)</f>
        <v/>
      </c>
      <c r="I12" s="1" t="str">
        <f>IF(ISBLANK('2021'!I12),"",'2021'!I12-'2018'!I12)</f>
        <v/>
      </c>
      <c r="J12" s="1" t="str">
        <f>IF(ISBLANK('2021'!J12),"",'2021'!J12-'2018'!J12)</f>
        <v/>
      </c>
      <c r="K12" s="1" t="str">
        <f>IF(ISBLANK('2021'!K12),"",'2021'!K12-'2018'!K12)</f>
        <v/>
      </c>
      <c r="L12" s="1">
        <f>IF(ISBLANK('2021'!L12),"",'2021'!L12-'2018'!L12)</f>
        <v>0</v>
      </c>
      <c r="M12" s="1">
        <f>IF(ISBLANK('2021'!M12),"",'2021'!M12-'2018'!M12)</f>
        <v>4.2337000000001179E-3</v>
      </c>
      <c r="N12" s="1">
        <f>IF(ISBLANK('2021'!N12),"",'2021'!N12-'2018'!N12)</f>
        <v>-3.707599999999811E-3</v>
      </c>
      <c r="O12" s="1" t="str">
        <f>IF(ISBLANK('2021'!O12),"",'2021'!O12-'2018'!O12)</f>
        <v/>
      </c>
      <c r="P12" s="1">
        <f>IF(ISBLANK('2021'!P12),"",'2021'!P12-'2018'!P12)</f>
        <v>-2.3314199999999952E-2</v>
      </c>
      <c r="Q12" s="1" t="str">
        <f>IF(ISBLANK('2021'!Q12),"",'2021'!Q12-'2018'!Q12)</f>
        <v/>
      </c>
      <c r="R12" s="1" t="str">
        <f>IF(ISBLANK('2021'!R12),"",'2021'!R12-'2018'!R12)</f>
        <v/>
      </c>
      <c r="S12" s="1" t="str">
        <f>IF(ISBLANK('2021'!S12),"",'2021'!S12-'2018'!S12)</f>
        <v/>
      </c>
      <c r="T12" s="1">
        <f>IF(ISBLANK('2021'!T12),"",'2021'!T12-'2018'!T12)</f>
        <v>2.2463999999999817E-3</v>
      </c>
      <c r="U12" s="1" t="str">
        <f>IF(ISBLANK('2021'!U12),"",'2021'!U12-'2018'!U12)</f>
        <v/>
      </c>
      <c r="V12" s="1" t="str">
        <f>IF(ISBLANK('2021'!V12),"",'2021'!V12-'2018'!V12)</f>
        <v/>
      </c>
      <c r="W12" s="1" t="str">
        <f>IF(ISBLANK('2021'!W12),"",'2021'!W12-'2018'!W12)</f>
        <v/>
      </c>
      <c r="X12" s="1" t="str">
        <f>IF(ISBLANK('2021'!X12),"",'2021'!X12-'2018'!X12)</f>
        <v/>
      </c>
      <c r="Y12" s="1" t="str">
        <f>IF(ISBLANK('2021'!Y12),"",'2021'!Y12-'2018'!Y12)</f>
        <v/>
      </c>
      <c r="Z12" s="1" t="str">
        <f>IF(ISBLANK('2021'!Z12),"",'2021'!Z12-'2018'!Z12)</f>
        <v/>
      </c>
      <c r="AA12" s="1" t="str">
        <f>IF(ISBLANK('2021'!AA12),"",'2021'!AA12-'2018'!AA12)</f>
        <v/>
      </c>
      <c r="AB12" s="1" t="str">
        <f>IF(ISBLANK('2021'!AB12),"",'2021'!AB12-'2018'!AB12)</f>
        <v/>
      </c>
      <c r="AC12" s="1" t="str">
        <f>IF(ISBLANK('2021'!AC12),"",'2021'!AC12-'2018'!AC12)</f>
        <v/>
      </c>
      <c r="AD12" s="1" t="str">
        <f>IF(ISBLANK('2021'!AD12),"",'2021'!AD12-'2018'!AD12)</f>
        <v/>
      </c>
      <c r="AE12" s="1" t="str">
        <f>IF(ISBLANK('2021'!AE12),"",'2021'!AE12-'2018'!AE12)</f>
        <v/>
      </c>
      <c r="AF12" s="1" t="str">
        <f>IF(ISBLANK('2021'!AF12),"",'2021'!AF12-'2018'!AF12)</f>
        <v/>
      </c>
      <c r="AG12" s="1" t="str">
        <f>IF(ISBLANK('2021'!AG12),"",'2021'!AG12-'2018'!AG12)</f>
        <v/>
      </c>
      <c r="AH12" s="1" t="str">
        <f>IF(ISBLANK('2021'!AH12),"",'2021'!AH12-'2018'!AH12)</f>
        <v/>
      </c>
      <c r="AI12" s="1" t="str">
        <f>IF(ISBLANK('2021'!AI12),"",'2021'!AI12-'2018'!AI12)</f>
        <v/>
      </c>
    </row>
    <row r="13" spans="3:35" x14ac:dyDescent="0.25">
      <c r="C13" t="str">
        <f t="shared" si="1"/>
        <v>01001</v>
      </c>
      <c r="D13" s="1" t="str">
        <f>IF(ISBLANK('2021'!D13),"",'2021'!D13-'2018'!D13)</f>
        <v/>
      </c>
      <c r="E13" s="1" t="str">
        <f>IF(ISBLANK('2021'!E13),"",'2021'!E13-'2018'!E13)</f>
        <v/>
      </c>
      <c r="F13" s="1" t="str">
        <f>IF(ISBLANK('2021'!F13),"",'2021'!F13-'2018'!F13)</f>
        <v/>
      </c>
      <c r="G13" s="1" t="str">
        <f>IF(ISBLANK('2021'!G13),"",'2021'!G13-'2018'!G13)</f>
        <v/>
      </c>
      <c r="H13" s="1" t="str">
        <f>IF(ISBLANK('2021'!H13),"",'2021'!H13-'2018'!H13)</f>
        <v/>
      </c>
      <c r="I13" s="1" t="str">
        <f>IF(ISBLANK('2021'!I13),"",'2021'!I13-'2018'!I13)</f>
        <v/>
      </c>
      <c r="J13" s="1" t="str">
        <f>IF(ISBLANK('2021'!J13),"",'2021'!J13-'2018'!J13)</f>
        <v/>
      </c>
      <c r="K13" s="1" t="str">
        <f>IF(ISBLANK('2021'!K13),"",'2021'!K13-'2018'!K13)</f>
        <v/>
      </c>
      <c r="L13" s="1">
        <f>IF(ISBLANK('2021'!L13),"",'2021'!L13-'2018'!L13)</f>
        <v>-4.23370000000034E-3</v>
      </c>
      <c r="M13" s="1">
        <f>IF(ISBLANK('2021'!M13),"",'2021'!M13-'2018'!M13)</f>
        <v>0</v>
      </c>
      <c r="N13" s="1">
        <f>IF(ISBLANK('2021'!N13),"",'2021'!N13-'2018'!N13)</f>
        <v>-7.9413000000005951E-3</v>
      </c>
      <c r="O13" s="1">
        <f>IF(ISBLANK('2021'!O13),"",'2021'!O13-'2018'!O13)</f>
        <v>1.1758499999999117E-2</v>
      </c>
      <c r="P13" s="1">
        <f>IF(ISBLANK('2021'!P13),"",'2021'!P13-'2018'!P13)</f>
        <v>-2.754790000000007E-2</v>
      </c>
      <c r="Q13" s="1">
        <f>IF(ISBLANK('2021'!Q13),"",'2021'!Q13-'2018'!Q13)</f>
        <v>-2.8687699999999872E-2</v>
      </c>
      <c r="R13" s="1">
        <f>IF(ISBLANK('2021'!R13),"",'2021'!R13-'2018'!R13)</f>
        <v>9.881899999999888E-3</v>
      </c>
      <c r="S13" s="1" t="str">
        <f>IF(ISBLANK('2021'!S13),"",'2021'!S13-'2018'!S13)</f>
        <v/>
      </c>
      <c r="T13" s="1">
        <f>IF(ISBLANK('2021'!T13),"",'2021'!T13-'2018'!T13)</f>
        <v>-1.9873000000001362E-3</v>
      </c>
      <c r="U13" s="1">
        <f>IF(ISBLANK('2021'!U13),"",'2021'!U13-'2018'!U13)</f>
        <v>3.6534999999999762E-3</v>
      </c>
      <c r="V13" s="1">
        <f>IF(ISBLANK('2021'!V13),"",'2021'!V13-'2018'!V13)</f>
        <v>-4.147600000000029E-3</v>
      </c>
      <c r="W13" s="1" t="str">
        <f>IF(ISBLANK('2021'!W13),"",'2021'!W13-'2018'!W13)</f>
        <v/>
      </c>
      <c r="X13" s="1">
        <f>IF(ISBLANK('2021'!X13),"",'2021'!X13-'2018'!X13)</f>
        <v>1.1700600000000172E-2</v>
      </c>
      <c r="Y13" s="1" t="str">
        <f>IF(ISBLANK('2021'!Y13),"",'2021'!Y13-'2018'!Y13)</f>
        <v/>
      </c>
      <c r="Z13" s="1" t="str">
        <f>IF(ISBLANK('2021'!Z13),"",'2021'!Z13-'2018'!Z13)</f>
        <v/>
      </c>
      <c r="AA13" s="1" t="str">
        <f>IF(ISBLANK('2021'!AA13),"",'2021'!AA13-'2018'!AA13)</f>
        <v/>
      </c>
      <c r="AB13" s="1">
        <f>IF(ISBLANK('2021'!AB13),"",'2021'!AB13-'2018'!AB13)</f>
        <v>-7.5582000000000704E-3</v>
      </c>
      <c r="AC13" s="1" t="str">
        <f>IF(ISBLANK('2021'!AC13),"",'2021'!AC13-'2018'!AC13)</f>
        <v/>
      </c>
      <c r="AD13" s="1" t="str">
        <f>IF(ISBLANK('2021'!AD13),"",'2021'!AD13-'2018'!AD13)</f>
        <v/>
      </c>
      <c r="AE13" s="1" t="str">
        <f>IF(ISBLANK('2021'!AE13),"",'2021'!AE13-'2018'!AE13)</f>
        <v/>
      </c>
      <c r="AF13" s="1" t="str">
        <f>IF(ISBLANK('2021'!AF13),"",'2021'!AF13-'2018'!AF13)</f>
        <v/>
      </c>
      <c r="AG13" s="1" t="str">
        <f>IF(ISBLANK('2021'!AG13),"",'2021'!AG13-'2018'!AG13)</f>
        <v/>
      </c>
      <c r="AH13" s="1" t="str">
        <f>IF(ISBLANK('2021'!AH13),"",'2021'!AH13-'2018'!AH13)</f>
        <v/>
      </c>
      <c r="AI13" s="1" t="str">
        <f>IF(ISBLANK('2021'!AI13),"",'2021'!AI13-'2018'!AI13)</f>
        <v/>
      </c>
    </row>
    <row r="14" spans="3:35" x14ac:dyDescent="0.25">
      <c r="C14" t="str">
        <f t="shared" si="1"/>
        <v>01010</v>
      </c>
      <c r="D14" s="1" t="str">
        <f>IF(ISBLANK('2021'!D14),"",'2021'!D14-'2018'!D14)</f>
        <v/>
      </c>
      <c r="E14" s="1" t="str">
        <f>IF(ISBLANK('2021'!E14),"",'2021'!E14-'2018'!E14)</f>
        <v/>
      </c>
      <c r="F14" s="1" t="str">
        <f>IF(ISBLANK('2021'!F14),"",'2021'!F14-'2018'!F14)</f>
        <v/>
      </c>
      <c r="G14" s="1" t="str">
        <f>IF(ISBLANK('2021'!G14),"",'2021'!G14-'2018'!G14)</f>
        <v/>
      </c>
      <c r="H14" s="1" t="str">
        <f>IF(ISBLANK('2021'!H14),"",'2021'!H14-'2018'!H14)</f>
        <v/>
      </c>
      <c r="I14" s="1" t="str">
        <f>IF(ISBLANK('2021'!I14),"",'2021'!I14-'2018'!I14)</f>
        <v/>
      </c>
      <c r="J14" s="1" t="str">
        <f>IF(ISBLANK('2021'!J14),"",'2021'!J14-'2018'!J14)</f>
        <v/>
      </c>
      <c r="K14" s="1" t="str">
        <f>IF(ISBLANK('2021'!K14),"",'2021'!K14-'2018'!K14)</f>
        <v/>
      </c>
      <c r="L14" s="1">
        <f>IF(ISBLANK('2021'!L14),"",'2021'!L14-'2018'!L14)</f>
        <v>3.707599999999589E-3</v>
      </c>
      <c r="M14" s="1">
        <f>IF(ISBLANK('2021'!M14),"",'2021'!M14-'2018'!M14)</f>
        <v>7.941299999999929E-3</v>
      </c>
      <c r="N14" s="1">
        <f>IF(ISBLANK('2021'!N14),"",'2021'!N14-'2018'!N14)</f>
        <v>0</v>
      </c>
      <c r="O14" s="1">
        <f>IF(ISBLANK('2021'!O14),"",'2021'!O14-'2018'!O14)</f>
        <v>1.9699799999999712E-2</v>
      </c>
      <c r="P14" s="1">
        <f>IF(ISBLANK('2021'!P14),"",'2021'!P14-'2018'!P14)</f>
        <v>-1.9606599999999919E-2</v>
      </c>
      <c r="Q14" s="1">
        <f>IF(ISBLANK('2021'!Q14),"",'2021'!Q14-'2018'!Q14)</f>
        <v>-2.0746399999999721E-2</v>
      </c>
      <c r="R14" s="1">
        <f>IF(ISBLANK('2021'!R14),"",'2021'!R14-'2018'!R14)</f>
        <v>1.7823200000000039E-2</v>
      </c>
      <c r="S14" s="1" t="str">
        <f>IF(ISBLANK('2021'!S14),"",'2021'!S14-'2018'!S14)</f>
        <v/>
      </c>
      <c r="T14" s="1">
        <f>IF(ISBLANK('2021'!T14),"",'2021'!T14-'2018'!T14)</f>
        <v>5.9539999999997928E-3</v>
      </c>
      <c r="U14" s="1">
        <f>IF(ISBLANK('2021'!U14),"",'2021'!U14-'2018'!U14)</f>
        <v>1.1594799999999905E-2</v>
      </c>
      <c r="V14" s="1">
        <f>IF(ISBLANK('2021'!V14),"",'2021'!V14-'2018'!V14)</f>
        <v>3.7936999999998999E-3</v>
      </c>
      <c r="W14" s="1" t="str">
        <f>IF(ISBLANK('2021'!W14),"",'2021'!W14-'2018'!W14)</f>
        <v/>
      </c>
      <c r="X14" s="1">
        <f>IF(ISBLANK('2021'!X14),"",'2021'!X14-'2018'!X14)</f>
        <v>1.9641900000000101E-2</v>
      </c>
      <c r="Y14" s="1" t="str">
        <f>IF(ISBLANK('2021'!Y14),"",'2021'!Y14-'2018'!Y14)</f>
        <v/>
      </c>
      <c r="Z14" s="1" t="str">
        <f>IF(ISBLANK('2021'!Z14),"",'2021'!Z14-'2018'!Z14)</f>
        <v/>
      </c>
      <c r="AA14" s="1" t="str">
        <f>IF(ISBLANK('2021'!AA14),"",'2021'!AA14-'2018'!AA14)</f>
        <v/>
      </c>
      <c r="AB14" s="1">
        <f>IF(ISBLANK('2021'!AB14),"",'2021'!AB14-'2018'!AB14)</f>
        <v>3.8309999999985855E-4</v>
      </c>
      <c r="AC14" s="1" t="str">
        <f>IF(ISBLANK('2021'!AC14),"",'2021'!AC14-'2018'!AC14)</f>
        <v/>
      </c>
      <c r="AD14" s="1" t="str">
        <f>IF(ISBLANK('2021'!AD14),"",'2021'!AD14-'2018'!AD14)</f>
        <v/>
      </c>
      <c r="AE14" s="1" t="str">
        <f>IF(ISBLANK('2021'!AE14),"",'2021'!AE14-'2018'!AE14)</f>
        <v/>
      </c>
      <c r="AF14" s="1" t="str">
        <f>IF(ISBLANK('2021'!AF14),"",'2021'!AF14-'2018'!AF14)</f>
        <v/>
      </c>
      <c r="AG14" s="1" t="str">
        <f>IF(ISBLANK('2021'!AG14),"",'2021'!AG14-'2018'!AG14)</f>
        <v/>
      </c>
      <c r="AH14" s="1" t="str">
        <f>IF(ISBLANK('2021'!AH14),"",'2021'!AH14-'2018'!AH14)</f>
        <v/>
      </c>
      <c r="AI14" s="1" t="str">
        <f>IF(ISBLANK('2021'!AI14),"",'2021'!AI14-'2018'!AI14)</f>
        <v/>
      </c>
    </row>
    <row r="15" spans="3:35" x14ac:dyDescent="0.25">
      <c r="C15" t="str">
        <f t="shared" si="1"/>
        <v>01011</v>
      </c>
      <c r="D15" s="1" t="str">
        <f>IF(ISBLANK('2021'!D15),"",'2021'!D15-'2018'!D15)</f>
        <v/>
      </c>
      <c r="E15" s="1" t="str">
        <f>IF(ISBLANK('2021'!E15),"",'2021'!E15-'2018'!E15)</f>
        <v/>
      </c>
      <c r="F15" s="1" t="str">
        <f>IF(ISBLANK('2021'!F15),"",'2021'!F15-'2018'!F15)</f>
        <v/>
      </c>
      <c r="G15" s="1" t="str">
        <f>IF(ISBLANK('2021'!G15),"",'2021'!G15-'2018'!G15)</f>
        <v/>
      </c>
      <c r="H15" s="1" t="str">
        <f>IF(ISBLANK('2021'!H15),"",'2021'!H15-'2018'!H15)</f>
        <v/>
      </c>
      <c r="I15" s="1" t="str">
        <f>IF(ISBLANK('2021'!I15),"",'2021'!I15-'2018'!I15)</f>
        <v/>
      </c>
      <c r="J15" s="1" t="str">
        <f>IF(ISBLANK('2021'!J15),"",'2021'!J15-'2018'!J15)</f>
        <v/>
      </c>
      <c r="K15" s="1" t="str">
        <f>IF(ISBLANK('2021'!K15),"",'2021'!K15-'2018'!K15)</f>
        <v/>
      </c>
      <c r="L15" s="1">
        <f>IF(ISBLANK('2021'!L15),"",'2021'!L15-'2018'!L15)</f>
        <v>-1.5992199999999901E-2</v>
      </c>
      <c r="M15" s="1">
        <f>IF(ISBLANK('2021'!M15),"",'2021'!M15-'2018'!M15)</f>
        <v>-1.1758499999999561E-2</v>
      </c>
      <c r="N15" s="1">
        <f>IF(ISBLANK('2021'!N15),"",'2021'!N15-'2018'!N15)</f>
        <v>-1.9699799999999712E-2</v>
      </c>
      <c r="O15" s="1">
        <f>IF(ISBLANK('2021'!O15),"",'2021'!O15-'2018'!O15)</f>
        <v>0</v>
      </c>
      <c r="P15" s="1">
        <f>IF(ISBLANK('2021'!P15),"",'2021'!P15-'2018'!P15)</f>
        <v>-3.9306399999999631E-2</v>
      </c>
      <c r="Q15" s="1">
        <f>IF(ISBLANK('2021'!Q15),"",'2021'!Q15-'2018'!Q15)</f>
        <v>-4.0446199999999433E-2</v>
      </c>
      <c r="R15" s="1">
        <f>IF(ISBLANK('2021'!R15),"",'2021'!R15-'2018'!R15)</f>
        <v>-1.876599999999673E-3</v>
      </c>
      <c r="S15" s="1">
        <f>IF(ISBLANK('2021'!S15),"",'2021'!S15-'2018'!S15)</f>
        <v>0.11106740000000004</v>
      </c>
      <c r="T15" s="1">
        <f>IF(ISBLANK('2021'!T15),"",'2021'!T15-'2018'!T15)</f>
        <v>-1.3745799999999697E-2</v>
      </c>
      <c r="U15" s="1">
        <f>IF(ISBLANK('2021'!U15),"",'2021'!U15-'2018'!U15)</f>
        <v>-8.1050000000000288E-3</v>
      </c>
      <c r="V15" s="1">
        <f>IF(ISBLANK('2021'!V15),"",'2021'!V15-'2018'!V15)</f>
        <v>-1.5906100000000034E-2</v>
      </c>
      <c r="W15" s="1">
        <f>IF(ISBLANK('2021'!W15),"",'2021'!W15-'2018'!W15)</f>
        <v>3.1400000000036954E-4</v>
      </c>
      <c r="X15" s="1">
        <f>IF(ISBLANK('2021'!X15),"",'2021'!X15-'2018'!X15)</f>
        <v>-5.7899999999388996E-5</v>
      </c>
      <c r="Y15" s="1">
        <f>IF(ISBLANK('2021'!Y15),"",'2021'!Y15-'2018'!Y15)</f>
        <v>-8.8979999999994064E-4</v>
      </c>
      <c r="Z15" s="1">
        <f>IF(ISBLANK('2021'!Z15),"",'2021'!Z15-'2018'!Z15)</f>
        <v>9.1694000000006604E-3</v>
      </c>
      <c r="AA15" s="1" t="str">
        <f>IF(ISBLANK('2021'!AA15),"",'2021'!AA15-'2018'!AA15)</f>
        <v/>
      </c>
      <c r="AB15" s="1">
        <f>IF(ISBLANK('2021'!AB15),"",'2021'!AB15-'2018'!AB15)</f>
        <v>-1.9316699999999631E-2</v>
      </c>
      <c r="AC15" s="1">
        <f>IF(ISBLANK('2021'!AC15),"",'2021'!AC15-'2018'!AC15)</f>
        <v>-1.9316699999999631E-2</v>
      </c>
      <c r="AD15" s="1">
        <f>IF(ISBLANK('2021'!AD15),"",'2021'!AD15-'2018'!AD15)</f>
        <v>-1.9316699999999631E-2</v>
      </c>
      <c r="AE15" s="1" t="str">
        <f>IF(ISBLANK('2021'!AE15),"",'2021'!AE15-'2018'!AE15)</f>
        <v/>
      </c>
      <c r="AF15" s="1">
        <f>IF(ISBLANK('2021'!AF15),"",'2021'!AF15-'2018'!AF15)</f>
        <v>-1.9316699999999631E-2</v>
      </c>
      <c r="AG15" s="1">
        <f>IF(ISBLANK('2021'!AG15),"",'2021'!AG15-'2018'!AG15)</f>
        <v>-1.9316699999999631E-2</v>
      </c>
      <c r="AH15" s="1" t="str">
        <f>IF(ISBLANK('2021'!AH15),"",'2021'!AH15-'2018'!AH15)</f>
        <v/>
      </c>
      <c r="AI15" s="1" t="str">
        <f>IF(ISBLANK('2021'!AI15),"",'2021'!AI15-'2018'!AI15)</f>
        <v/>
      </c>
    </row>
    <row r="16" spans="3:35" x14ac:dyDescent="0.25">
      <c r="C16" t="str">
        <f t="shared" si="1"/>
        <v>01100</v>
      </c>
      <c r="D16" s="1" t="str">
        <f>IF(ISBLANK('2021'!D16),"",'2021'!D16-'2018'!D16)</f>
        <v/>
      </c>
      <c r="E16" s="1" t="str">
        <f>IF(ISBLANK('2021'!E16),"",'2021'!E16-'2018'!E16)</f>
        <v/>
      </c>
      <c r="F16" s="1" t="str">
        <f>IF(ISBLANK('2021'!F16),"",'2021'!F16-'2018'!F16)</f>
        <v/>
      </c>
      <c r="G16" s="1" t="str">
        <f>IF(ISBLANK('2021'!G16),"",'2021'!G16-'2018'!G16)</f>
        <v/>
      </c>
      <c r="H16" s="1" t="str">
        <f>IF(ISBLANK('2021'!H16),"",'2021'!H16-'2018'!H16)</f>
        <v/>
      </c>
      <c r="I16" s="1" t="str">
        <f>IF(ISBLANK('2021'!I16),"",'2021'!I16-'2018'!I16)</f>
        <v/>
      </c>
      <c r="J16" s="1" t="str">
        <f>IF(ISBLANK('2021'!J16),"",'2021'!J16-'2018'!J16)</f>
        <v/>
      </c>
      <c r="K16" s="1" t="str">
        <f>IF(ISBLANK('2021'!K16),"",'2021'!K16-'2018'!K16)</f>
        <v/>
      </c>
      <c r="L16" s="1">
        <f>IF(ISBLANK('2021'!L16),"",'2021'!L16-'2018'!L16)</f>
        <v>2.331419999999973E-2</v>
      </c>
      <c r="M16" s="1">
        <f>IF(ISBLANK('2021'!M16),"",'2021'!M16-'2018'!M16)</f>
        <v>2.754790000000007E-2</v>
      </c>
      <c r="N16" s="1">
        <f>IF(ISBLANK('2021'!N16),"",'2021'!N16-'2018'!N16)</f>
        <v>1.9606599999999919E-2</v>
      </c>
      <c r="O16" s="1" t="str">
        <f>IF(ISBLANK('2021'!O16),"",'2021'!O16-'2018'!O16)</f>
        <v/>
      </c>
      <c r="P16" s="1">
        <f>IF(ISBLANK('2021'!P16),"",'2021'!P16-'2018'!P16)</f>
        <v>0</v>
      </c>
      <c r="Q16" s="1">
        <f>IF(ISBLANK('2021'!Q16),"",'2021'!Q16-'2018'!Q16)</f>
        <v>-1.1397999999998021E-3</v>
      </c>
      <c r="R16" s="1">
        <f>IF(ISBLANK('2021'!R16),"",'2021'!R16-'2018'!R16)</f>
        <v>3.7429799999999958E-2</v>
      </c>
      <c r="S16" s="1" t="str">
        <f>IF(ISBLANK('2021'!S16),"",'2021'!S16-'2018'!S16)</f>
        <v/>
      </c>
      <c r="T16" s="1">
        <f>IF(ISBLANK('2021'!T16),"",'2021'!T16-'2018'!T16)</f>
        <v>2.5560599999999933E-2</v>
      </c>
      <c r="U16" s="1">
        <f>IF(ISBLANK('2021'!U16),"",'2021'!U16-'2018'!U16)</f>
        <v>3.1201400000000046E-2</v>
      </c>
      <c r="V16" s="1">
        <f>IF(ISBLANK('2021'!V16),"",'2021'!V16-'2018'!V16)</f>
        <v>2.3400300000000041E-2</v>
      </c>
      <c r="W16" s="1" t="str">
        <f>IF(ISBLANK('2021'!W16),"",'2021'!W16-'2018'!W16)</f>
        <v/>
      </c>
      <c r="X16" s="1">
        <f>IF(ISBLANK('2021'!X16),"",'2021'!X16-'2018'!X16)</f>
        <v>3.9248500000000242E-2</v>
      </c>
      <c r="Y16" s="1" t="str">
        <f>IF(ISBLANK('2021'!Y16),"",'2021'!Y16-'2018'!Y16)</f>
        <v/>
      </c>
      <c r="Z16" s="1" t="str">
        <f>IF(ISBLANK('2021'!Z16),"",'2021'!Z16-'2018'!Z16)</f>
        <v/>
      </c>
      <c r="AA16" s="1" t="str">
        <f>IF(ISBLANK('2021'!AA16),"",'2021'!AA16-'2018'!AA16)</f>
        <v/>
      </c>
      <c r="AB16" s="1">
        <f>IF(ISBLANK('2021'!AB16),"",'2021'!AB16-'2018'!AB16)</f>
        <v>1.9989699999999999E-2</v>
      </c>
      <c r="AC16" s="1" t="str">
        <f>IF(ISBLANK('2021'!AC16),"",'2021'!AC16-'2018'!AC16)</f>
        <v/>
      </c>
      <c r="AD16" s="1" t="str">
        <f>IF(ISBLANK('2021'!AD16),"",'2021'!AD16-'2018'!AD16)</f>
        <v/>
      </c>
      <c r="AE16" s="1" t="str">
        <f>IF(ISBLANK('2021'!AE16),"",'2021'!AE16-'2018'!AE16)</f>
        <v/>
      </c>
      <c r="AF16" s="1" t="str">
        <f>IF(ISBLANK('2021'!AF16),"",'2021'!AF16-'2018'!AF16)</f>
        <v/>
      </c>
      <c r="AG16" s="1" t="str">
        <f>IF(ISBLANK('2021'!AG16),"",'2021'!AG16-'2018'!AG16)</f>
        <v/>
      </c>
      <c r="AH16" s="1" t="str">
        <f>IF(ISBLANK('2021'!AH16),"",'2021'!AH16-'2018'!AH16)</f>
        <v/>
      </c>
      <c r="AI16" s="1" t="str">
        <f>IF(ISBLANK('2021'!AI16),"",'2021'!AI16-'2018'!AI16)</f>
        <v/>
      </c>
    </row>
    <row r="17" spans="3:35" x14ac:dyDescent="0.25">
      <c r="C17" t="str">
        <f t="shared" si="1"/>
        <v>01101</v>
      </c>
      <c r="D17" s="1" t="str">
        <f>IF(ISBLANK('2021'!D17),"",'2021'!D17-'2018'!D17)</f>
        <v/>
      </c>
      <c r="E17" s="1" t="str">
        <f>IF(ISBLANK('2021'!E17),"",'2021'!E17-'2018'!E17)</f>
        <v/>
      </c>
      <c r="F17" s="1" t="str">
        <f>IF(ISBLANK('2021'!F17),"",'2021'!F17-'2018'!F17)</f>
        <v/>
      </c>
      <c r="G17" s="1" t="str">
        <f>IF(ISBLANK('2021'!G17),"",'2021'!G17-'2018'!G17)</f>
        <v/>
      </c>
      <c r="H17" s="1" t="str">
        <f>IF(ISBLANK('2021'!H17),"",'2021'!H17-'2018'!H17)</f>
        <v/>
      </c>
      <c r="I17" s="1" t="str">
        <f>IF(ISBLANK('2021'!I17),"",'2021'!I17-'2018'!I17)</f>
        <v/>
      </c>
      <c r="J17" s="1" t="str">
        <f>IF(ISBLANK('2021'!J17),"",'2021'!J17-'2018'!J17)</f>
        <v/>
      </c>
      <c r="K17" s="1" t="str">
        <f>IF(ISBLANK('2021'!K17),"",'2021'!K17-'2018'!K17)</f>
        <v/>
      </c>
      <c r="L17" s="1">
        <f>IF(ISBLANK('2021'!L17),"",'2021'!L17-'2018'!L17)</f>
        <v>2.4453999999999532E-2</v>
      </c>
      <c r="M17" s="1">
        <f>IF(ISBLANK('2021'!M17),"",'2021'!M17-'2018'!M17)</f>
        <v>2.8687699999999872E-2</v>
      </c>
      <c r="N17" s="1">
        <f>IF(ISBLANK('2021'!N17),"",'2021'!N17-'2018'!N17)</f>
        <v>2.0746399999999721E-2</v>
      </c>
      <c r="O17" s="1">
        <f>IF(ISBLANK('2021'!O17),"",'2021'!O17-'2018'!O17)</f>
        <v>4.0446199999999433E-2</v>
      </c>
      <c r="P17" s="1">
        <f>IF(ISBLANK('2021'!P17),"",'2021'!P17-'2018'!P17)</f>
        <v>1.1397999999998021E-3</v>
      </c>
      <c r="Q17" s="1">
        <f>IF(ISBLANK('2021'!Q17),"",'2021'!Q17-'2018'!Q17)</f>
        <v>0</v>
      </c>
      <c r="R17" s="1">
        <f>IF(ISBLANK('2021'!R17),"",'2021'!R17-'2018'!R17)</f>
        <v>3.856959999999976E-2</v>
      </c>
      <c r="S17" s="1">
        <f>IF(ISBLANK('2021'!S17),"",'2021'!S17-'2018'!S17)</f>
        <v>0.15151359999999947</v>
      </c>
      <c r="T17" s="1">
        <f>IF(ISBLANK('2021'!T17),"",'2021'!T17-'2018'!T17)</f>
        <v>2.6700399999999735E-2</v>
      </c>
      <c r="U17" s="1">
        <f>IF(ISBLANK('2021'!U17),"",'2021'!U17-'2018'!U17)</f>
        <v>3.2341199999999848E-2</v>
      </c>
      <c r="V17" s="1">
        <f>IF(ISBLANK('2021'!V17),"",'2021'!V17-'2018'!V17)</f>
        <v>2.4540099999999843E-2</v>
      </c>
      <c r="W17" s="1">
        <f>IF(ISBLANK('2021'!W17),"",'2021'!W17-'2018'!W17)</f>
        <v>4.0760199999999802E-2</v>
      </c>
      <c r="X17" s="1">
        <f>IF(ISBLANK('2021'!X17),"",'2021'!X17-'2018'!X17)</f>
        <v>4.0388300000000044E-2</v>
      </c>
      <c r="Y17" s="1">
        <f>IF(ISBLANK('2021'!Y17),"",'2021'!Y17-'2018'!Y17)</f>
        <v>3.9556399999999492E-2</v>
      </c>
      <c r="Z17" s="1">
        <f>IF(ISBLANK('2021'!Z17),"",'2021'!Z17-'2018'!Z17)</f>
        <v>4.9615600000000093E-2</v>
      </c>
      <c r="AA17" s="1" t="str">
        <f>IF(ISBLANK('2021'!AA17),"",'2021'!AA17-'2018'!AA17)</f>
        <v/>
      </c>
      <c r="AB17" s="1">
        <f>IF(ISBLANK('2021'!AB17),"",'2021'!AB17-'2018'!AB17)</f>
        <v>2.1129499999999801E-2</v>
      </c>
      <c r="AC17" s="1">
        <f>IF(ISBLANK('2021'!AC17),"",'2021'!AC17-'2018'!AC17)</f>
        <v>2.1129499999999801E-2</v>
      </c>
      <c r="AD17" s="1">
        <f>IF(ISBLANK('2021'!AD17),"",'2021'!AD17-'2018'!AD17)</f>
        <v>2.1129499999999801E-2</v>
      </c>
      <c r="AE17" s="1" t="str">
        <f>IF(ISBLANK('2021'!AE17),"",'2021'!AE17-'2018'!AE17)</f>
        <v/>
      </c>
      <c r="AF17" s="1">
        <f>IF(ISBLANK('2021'!AF17),"",'2021'!AF17-'2018'!AF17)</f>
        <v>2.1129499999999801E-2</v>
      </c>
      <c r="AG17" s="1">
        <f>IF(ISBLANK('2021'!AG17),"",'2021'!AG17-'2018'!AG17)</f>
        <v>2.1129499999999801E-2</v>
      </c>
      <c r="AH17" s="1" t="str">
        <f>IF(ISBLANK('2021'!AH17),"",'2021'!AH17-'2018'!AH17)</f>
        <v/>
      </c>
      <c r="AI17" s="1" t="str">
        <f>IF(ISBLANK('2021'!AI17),"",'2021'!AI17-'2018'!AI17)</f>
        <v/>
      </c>
    </row>
    <row r="18" spans="3:35" x14ac:dyDescent="0.25">
      <c r="C18" t="str">
        <f t="shared" si="1"/>
        <v>01110</v>
      </c>
      <c r="D18" s="1" t="str">
        <f>IF(ISBLANK('2021'!D18),"",'2021'!D18-'2018'!D18)</f>
        <v/>
      </c>
      <c r="E18" s="1" t="str">
        <f>IF(ISBLANK('2021'!E18),"",'2021'!E18-'2018'!E18)</f>
        <v/>
      </c>
      <c r="F18" s="1" t="str">
        <f>IF(ISBLANK('2021'!F18),"",'2021'!F18-'2018'!F18)</f>
        <v/>
      </c>
      <c r="G18" s="1" t="str">
        <f>IF(ISBLANK('2021'!G18),"",'2021'!G18-'2018'!G18)</f>
        <v/>
      </c>
      <c r="H18" s="1" t="str">
        <f>IF(ISBLANK('2021'!H18),"",'2021'!H18-'2018'!H18)</f>
        <v/>
      </c>
      <c r="I18" s="1" t="str">
        <f>IF(ISBLANK('2021'!I18),"",'2021'!I18-'2018'!I18)</f>
        <v/>
      </c>
      <c r="J18" s="1" t="str">
        <f>IF(ISBLANK('2021'!J18),"",'2021'!J18-'2018'!J18)</f>
        <v/>
      </c>
      <c r="K18" s="1" t="str">
        <f>IF(ISBLANK('2021'!K18),"",'2021'!K18-'2018'!K18)</f>
        <v/>
      </c>
      <c r="L18" s="1">
        <f>IF(ISBLANK('2021'!L18),"",'2021'!L18-'2018'!L18)</f>
        <v>-1.4115600000000228E-2</v>
      </c>
      <c r="M18" s="1">
        <f>IF(ISBLANK('2021'!M18),"",'2021'!M18-'2018'!M18)</f>
        <v>-9.881899999999888E-3</v>
      </c>
      <c r="N18" s="1">
        <f>IF(ISBLANK('2021'!N18),"",'2021'!N18-'2018'!N18)</f>
        <v>-1.7823200000000483E-2</v>
      </c>
      <c r="O18" s="1">
        <f>IF(ISBLANK('2021'!O18),"",'2021'!O18-'2018'!O18)</f>
        <v>1.8765999999992289E-3</v>
      </c>
      <c r="P18" s="1">
        <f>IF(ISBLANK('2021'!P18),"",'2021'!P18-'2018'!P18)</f>
        <v>-3.7429799999999958E-2</v>
      </c>
      <c r="Q18" s="1">
        <f>IF(ISBLANK('2021'!Q18),"",'2021'!Q18-'2018'!Q18)</f>
        <v>-3.856959999999976E-2</v>
      </c>
      <c r="R18" s="1">
        <f>IF(ISBLANK('2021'!R18),"",'2021'!R18-'2018'!R18)</f>
        <v>0</v>
      </c>
      <c r="S18" s="1">
        <f>IF(ISBLANK('2021'!S18),"",'2021'!S18-'2018'!S18)</f>
        <v>0.11294399999999971</v>
      </c>
      <c r="T18" s="1">
        <f>IF(ISBLANK('2021'!T18),"",'2021'!T18-'2018'!T18)</f>
        <v>-1.1869200000000024E-2</v>
      </c>
      <c r="U18" s="1">
        <f>IF(ISBLANK('2021'!U18),"",'2021'!U18-'2018'!U18)</f>
        <v>-6.2283999999999118E-3</v>
      </c>
      <c r="V18" s="1">
        <f>IF(ISBLANK('2021'!V18),"",'2021'!V18-'2018'!V18)</f>
        <v>-1.4029499999999917E-2</v>
      </c>
      <c r="W18" s="1">
        <f>IF(ISBLANK('2021'!W18),"",'2021'!W18-'2018'!W18)</f>
        <v>2.1905999999995984E-3</v>
      </c>
      <c r="X18" s="1">
        <f>IF(ISBLANK('2021'!X18),"",'2021'!X18-'2018'!X18)</f>
        <v>1.818700000000284E-3</v>
      </c>
      <c r="Y18" s="1">
        <f>IF(ISBLANK('2021'!Y18),"",'2021'!Y18-'2018'!Y18)</f>
        <v>9.8679999999973234E-4</v>
      </c>
      <c r="Z18" s="1">
        <f>IF(ISBLANK('2021'!Z18),"",'2021'!Z18-'2018'!Z18)</f>
        <v>1.1046000000000333E-2</v>
      </c>
      <c r="AA18" s="1" t="str">
        <f>IF(ISBLANK('2021'!AA18),"",'2021'!AA18-'2018'!AA18)</f>
        <v/>
      </c>
      <c r="AB18" s="1">
        <f>IF(ISBLANK('2021'!AB18),"",'2021'!AB18-'2018'!AB18)</f>
        <v>-1.7440099999999958E-2</v>
      </c>
      <c r="AC18" s="1">
        <f>IF(ISBLANK('2021'!AC18),"",'2021'!AC18-'2018'!AC18)</f>
        <v>-1.7440099999999958E-2</v>
      </c>
      <c r="AD18" s="1">
        <f>IF(ISBLANK('2021'!AD18),"",'2021'!AD18-'2018'!AD18)</f>
        <v>-1.7440099999999958E-2</v>
      </c>
      <c r="AE18" s="1" t="str">
        <f>IF(ISBLANK('2021'!AE18),"",'2021'!AE18-'2018'!AE18)</f>
        <v/>
      </c>
      <c r="AF18" s="1">
        <f>IF(ISBLANK('2021'!AF18),"",'2021'!AF18-'2018'!AF18)</f>
        <v>-1.7440099999999958E-2</v>
      </c>
      <c r="AG18" s="1">
        <f>IF(ISBLANK('2021'!AG18),"",'2021'!AG18-'2018'!AG18)</f>
        <v>-1.7440099999999958E-2</v>
      </c>
      <c r="AH18" s="1" t="str">
        <f>IF(ISBLANK('2021'!AH18),"",'2021'!AH18-'2018'!AH18)</f>
        <v/>
      </c>
      <c r="AI18" s="1" t="str">
        <f>IF(ISBLANK('2021'!AI18),"",'2021'!AI18-'2018'!AI18)</f>
        <v/>
      </c>
    </row>
    <row r="19" spans="3:35" x14ac:dyDescent="0.25">
      <c r="C19" t="str">
        <f t="shared" si="1"/>
        <v>01111</v>
      </c>
      <c r="D19" s="1" t="str">
        <f>IF(ISBLANK('2021'!D19),"",'2021'!D19-'2018'!D19)</f>
        <v/>
      </c>
      <c r="E19" s="1" t="str">
        <f>IF(ISBLANK('2021'!E19),"",'2021'!E19-'2018'!E19)</f>
        <v/>
      </c>
      <c r="F19" s="1" t="str">
        <f>IF(ISBLANK('2021'!F19),"",'2021'!F19-'2018'!F19)</f>
        <v/>
      </c>
      <c r="G19" s="1" t="str">
        <f>IF(ISBLANK('2021'!G19),"",'2021'!G19-'2018'!G19)</f>
        <v/>
      </c>
      <c r="H19" s="1" t="str">
        <f>IF(ISBLANK('2021'!H19),"",'2021'!H19-'2018'!H19)</f>
        <v/>
      </c>
      <c r="I19" s="1" t="str">
        <f>IF(ISBLANK('2021'!I19),"",'2021'!I19-'2018'!I19)</f>
        <v/>
      </c>
      <c r="J19" s="1" t="str">
        <f>IF(ISBLANK('2021'!J19),"",'2021'!J19-'2018'!J19)</f>
        <v/>
      </c>
      <c r="K19" s="1" t="str">
        <f>IF(ISBLANK('2021'!K19),"",'2021'!K19-'2018'!K19)</f>
        <v/>
      </c>
      <c r="L19" s="1">
        <f>IF(ISBLANK('2021'!L19),"",'2021'!L19-'2018'!L19)</f>
        <v>-0.12705959999999994</v>
      </c>
      <c r="M19" s="1">
        <f>IF(ISBLANK('2021'!M19),"",'2021'!M19-'2018'!M19)</f>
        <v>-0.1228258999999996</v>
      </c>
      <c r="N19" s="1">
        <f>IF(ISBLANK('2021'!N19),"",'2021'!N19-'2018'!N19)</f>
        <v>-0.13076720000000019</v>
      </c>
      <c r="O19" s="1">
        <f>IF(ISBLANK('2021'!O19),"",'2021'!O19-'2018'!O19)</f>
        <v>-0.11106739999999959</v>
      </c>
      <c r="P19" s="1">
        <f>IF(ISBLANK('2021'!P19),"",'2021'!P19-'2018'!P19)</f>
        <v>-0.15037379999999967</v>
      </c>
      <c r="Q19" s="1">
        <f>IF(ISBLANK('2021'!Q19),"",'2021'!Q19-'2018'!Q19)</f>
        <v>-0.15151359999999947</v>
      </c>
      <c r="R19" s="1">
        <f>IF(ISBLANK('2021'!R19),"",'2021'!R19-'2018'!R19)</f>
        <v>-0.11294399999999971</v>
      </c>
      <c r="S19" s="1">
        <f>IF(ISBLANK('2021'!S19),"",'2021'!S19-'2018'!S19)</f>
        <v>0</v>
      </c>
      <c r="T19" s="1">
        <f>IF(ISBLANK('2021'!T19),"",'2021'!T19-'2018'!T19)</f>
        <v>-0.12481320000000018</v>
      </c>
      <c r="U19" s="1">
        <f>IF(ISBLANK('2021'!U19),"",'2021'!U19-'2018'!U19)</f>
        <v>-0.11917240000000007</v>
      </c>
      <c r="V19" s="1">
        <f>IF(ISBLANK('2021'!V19),"",'2021'!V19-'2018'!V19)</f>
        <v>-0.12697350000000007</v>
      </c>
      <c r="W19" s="1">
        <f>IF(ISBLANK('2021'!W19),"",'2021'!W19-'2018'!W19)</f>
        <v>-0.11075339999999922</v>
      </c>
      <c r="X19" s="1">
        <f>IF(ISBLANK('2021'!X19),"",'2021'!X19-'2018'!X19)</f>
        <v>-0.11112529999999943</v>
      </c>
      <c r="Y19" s="1">
        <f>IF(ISBLANK('2021'!Y19),"",'2021'!Y19-'2018'!Y19)</f>
        <v>-0.11195719999999998</v>
      </c>
      <c r="Z19" s="1">
        <f>IF(ISBLANK('2021'!Z19),"",'2021'!Z19-'2018'!Z19)</f>
        <v>-0.10189799999999938</v>
      </c>
      <c r="AA19" s="1">
        <f>IF(ISBLANK('2021'!AA19),"",'2021'!AA19-'2018'!AA19)</f>
        <v>-6.6958899999999488E-2</v>
      </c>
      <c r="AB19" s="1">
        <f>IF(ISBLANK('2021'!AB19),"",'2021'!AB19-'2018'!AB19)</f>
        <v>-0.13038409999999967</v>
      </c>
      <c r="AC19" s="1">
        <f>IF(ISBLANK('2021'!AC19),"",'2021'!AC19-'2018'!AC19)</f>
        <v>-0.13038409999999967</v>
      </c>
      <c r="AD19" s="1">
        <f>IF(ISBLANK('2021'!AD19),"",'2021'!AD19-'2018'!AD19)</f>
        <v>-0.13038409999999967</v>
      </c>
      <c r="AE19" s="1">
        <f>IF(ISBLANK('2021'!AE19),"",'2021'!AE19-'2018'!AE19)</f>
        <v>-0.13038409999999967</v>
      </c>
      <c r="AF19" s="1">
        <f>IF(ISBLANK('2021'!AF19),"",'2021'!AF19-'2018'!AF19)</f>
        <v>-0.13038409999999967</v>
      </c>
      <c r="AG19" s="1">
        <f>IF(ISBLANK('2021'!AG19),"",'2021'!AG19-'2018'!AG19)</f>
        <v>-0.13038409999999967</v>
      </c>
      <c r="AH19" s="1">
        <f>IF(ISBLANK('2021'!AH19),"",'2021'!AH19-'2018'!AH19)</f>
        <v>-0.13038409999999967</v>
      </c>
      <c r="AI19" s="1" t="str">
        <f>IF(ISBLANK('2021'!AI19),"",'2021'!AI19-'2018'!AI19)</f>
        <v/>
      </c>
    </row>
    <row r="20" spans="3:35" x14ac:dyDescent="0.25">
      <c r="C20" t="str">
        <f t="shared" si="1"/>
        <v>10000</v>
      </c>
      <c r="D20" s="1" t="str">
        <f>IF(ISBLANK('2021'!D20),"",'2021'!D20-'2018'!D20)</f>
        <v/>
      </c>
      <c r="E20" s="1" t="str">
        <f>IF(ISBLANK('2021'!E20),"",'2021'!E20-'2018'!E20)</f>
        <v/>
      </c>
      <c r="F20" s="1" t="str">
        <f>IF(ISBLANK('2021'!F20),"",'2021'!F20-'2018'!F20)</f>
        <v/>
      </c>
      <c r="G20" s="1" t="str">
        <f>IF(ISBLANK('2021'!G20),"",'2021'!G20-'2018'!G20)</f>
        <v/>
      </c>
      <c r="H20" s="1" t="str">
        <f>IF(ISBLANK('2021'!H20),"",'2021'!H20-'2018'!H20)</f>
        <v/>
      </c>
      <c r="I20" s="1" t="str">
        <f>IF(ISBLANK('2021'!I20),"",'2021'!I20-'2018'!I20)</f>
        <v/>
      </c>
      <c r="J20" s="1" t="str">
        <f>IF(ISBLANK('2021'!J20),"",'2021'!J20-'2018'!J20)</f>
        <v/>
      </c>
      <c r="K20" s="1" t="str">
        <f>IF(ISBLANK('2021'!K20),"",'2021'!K20-'2018'!K20)</f>
        <v/>
      </c>
      <c r="L20" s="1" t="str">
        <f>IF(ISBLANK('2021'!L20),"",'2021'!L20-'2018'!L20)</f>
        <v/>
      </c>
      <c r="M20" s="1" t="str">
        <f>IF(ISBLANK('2021'!M20),"",'2021'!M20-'2018'!M20)</f>
        <v/>
      </c>
      <c r="N20" s="1" t="str">
        <f>IF(ISBLANK('2021'!N20),"",'2021'!N20-'2018'!N20)</f>
        <v/>
      </c>
      <c r="O20" s="1" t="str">
        <f>IF(ISBLANK('2021'!O20),"",'2021'!O20-'2018'!O20)</f>
        <v/>
      </c>
      <c r="P20" s="1" t="str">
        <f>IF(ISBLANK('2021'!P20),"",'2021'!P20-'2018'!P20)</f>
        <v/>
      </c>
      <c r="Q20" s="1" t="str">
        <f>IF(ISBLANK('2021'!Q20),"",'2021'!Q20-'2018'!Q20)</f>
        <v/>
      </c>
      <c r="R20" s="1" t="str">
        <f>IF(ISBLANK('2021'!R20),"",'2021'!R20-'2018'!R20)</f>
        <v/>
      </c>
      <c r="S20" s="1" t="str">
        <f>IF(ISBLANK('2021'!S20),"",'2021'!S20-'2018'!S20)</f>
        <v/>
      </c>
      <c r="T20" s="1">
        <f>IF(ISBLANK('2021'!T20),"",'2021'!T20-'2018'!T20)</f>
        <v>0</v>
      </c>
      <c r="U20" s="1">
        <f>IF(ISBLANK('2021'!U20),"",'2021'!U20-'2018'!U20)</f>
        <v>5.6408000000001124E-3</v>
      </c>
      <c r="V20" s="1">
        <f>IF(ISBLANK('2021'!V20),"",'2021'!V20-'2018'!V20)</f>
        <v>-2.1602999999998929E-3</v>
      </c>
      <c r="W20" s="1" t="str">
        <f>IF(ISBLANK('2021'!W20),"",'2021'!W20-'2018'!W20)</f>
        <v/>
      </c>
      <c r="X20" s="1">
        <f>IF(ISBLANK('2021'!X20),"",'2021'!X20-'2018'!X20)</f>
        <v>1.3687900000000308E-2</v>
      </c>
      <c r="Y20" s="1" t="str">
        <f>IF(ISBLANK('2021'!Y20),"",'2021'!Y20-'2018'!Y20)</f>
        <v/>
      </c>
      <c r="Z20" s="1" t="str">
        <f>IF(ISBLANK('2021'!Z20),"",'2021'!Z20-'2018'!Z20)</f>
        <v/>
      </c>
      <c r="AA20" s="1" t="str">
        <f>IF(ISBLANK('2021'!AA20),"",'2021'!AA20-'2018'!AA20)</f>
        <v/>
      </c>
      <c r="AB20" s="1">
        <f>IF(ISBLANK('2021'!AB20),"",'2021'!AB20-'2018'!AB20)</f>
        <v>-5.5708999999999342E-3</v>
      </c>
      <c r="AC20" s="1" t="str">
        <f>IF(ISBLANK('2021'!AC20),"",'2021'!AC20-'2018'!AC20)</f>
        <v/>
      </c>
      <c r="AD20" s="1" t="str">
        <f>IF(ISBLANK('2021'!AD20),"",'2021'!AD20-'2018'!AD20)</f>
        <v/>
      </c>
      <c r="AE20" s="1" t="str">
        <f>IF(ISBLANK('2021'!AE20),"",'2021'!AE20-'2018'!AE20)</f>
        <v/>
      </c>
      <c r="AF20" s="1" t="str">
        <f>IF(ISBLANK('2021'!AF20),"",'2021'!AF20-'2018'!AF20)</f>
        <v/>
      </c>
      <c r="AG20" s="1" t="str">
        <f>IF(ISBLANK('2021'!AG20),"",'2021'!AG20-'2018'!AG20)</f>
        <v/>
      </c>
      <c r="AH20" s="1" t="str">
        <f>IF(ISBLANK('2021'!AH20),"",'2021'!AH20-'2018'!AH20)</f>
        <v/>
      </c>
      <c r="AI20" s="1" t="str">
        <f>IF(ISBLANK('2021'!AI20),"",'2021'!AI20-'2018'!AI20)</f>
        <v/>
      </c>
    </row>
    <row r="21" spans="3:35" x14ac:dyDescent="0.25">
      <c r="C21" t="str">
        <f t="shared" si="1"/>
        <v>10001</v>
      </c>
      <c r="D21" s="1" t="str">
        <f>IF(ISBLANK('2021'!D21),"",'2021'!D21-'2018'!D21)</f>
        <v/>
      </c>
      <c r="E21" s="1" t="str">
        <f>IF(ISBLANK('2021'!E21),"",'2021'!E21-'2018'!E21)</f>
        <v/>
      </c>
      <c r="F21" s="1" t="str">
        <f>IF(ISBLANK('2021'!F21),"",'2021'!F21-'2018'!F21)</f>
        <v/>
      </c>
      <c r="G21" s="1" t="str">
        <f>IF(ISBLANK('2021'!G21),"",'2021'!G21-'2018'!G21)</f>
        <v/>
      </c>
      <c r="H21" s="1" t="str">
        <f>IF(ISBLANK('2021'!H21),"",'2021'!H21-'2018'!H21)</f>
        <v/>
      </c>
      <c r="I21" s="1" t="str">
        <f>IF(ISBLANK('2021'!I21),"",'2021'!I21-'2018'!I21)</f>
        <v/>
      </c>
      <c r="J21" s="1" t="str">
        <f>IF(ISBLANK('2021'!J21),"",'2021'!J21-'2018'!J21)</f>
        <v/>
      </c>
      <c r="K21" s="1" t="str">
        <f>IF(ISBLANK('2021'!K21),"",'2021'!K21-'2018'!K21)</f>
        <v/>
      </c>
      <c r="L21" s="1" t="str">
        <f>IF(ISBLANK('2021'!L21),"",'2021'!L21-'2018'!L21)</f>
        <v/>
      </c>
      <c r="M21" s="1" t="str">
        <f>IF(ISBLANK('2021'!M21),"",'2021'!M21-'2018'!M21)</f>
        <v/>
      </c>
      <c r="N21" s="1" t="str">
        <f>IF(ISBLANK('2021'!N21),"",'2021'!N21-'2018'!N21)</f>
        <v/>
      </c>
      <c r="O21" s="1" t="str">
        <f>IF(ISBLANK('2021'!O21),"",'2021'!O21-'2018'!O21)</f>
        <v/>
      </c>
      <c r="P21" s="1" t="str">
        <f>IF(ISBLANK('2021'!P21),"",'2021'!P21-'2018'!P21)</f>
        <v/>
      </c>
      <c r="Q21" s="1" t="str">
        <f>IF(ISBLANK('2021'!Q21),"",'2021'!Q21-'2018'!Q21)</f>
        <v/>
      </c>
      <c r="R21" s="1" t="str">
        <f>IF(ISBLANK('2021'!R21),"",'2021'!R21-'2018'!R21)</f>
        <v/>
      </c>
      <c r="S21" s="1" t="str">
        <f>IF(ISBLANK('2021'!S21),"",'2021'!S21-'2018'!S21)</f>
        <v/>
      </c>
      <c r="T21" s="1">
        <f>IF(ISBLANK('2021'!T21),"",'2021'!T21-'2018'!T21)</f>
        <v>-5.6408000000001124E-3</v>
      </c>
      <c r="U21" s="1">
        <f>IF(ISBLANK('2021'!U21),"",'2021'!U21-'2018'!U21)</f>
        <v>0</v>
      </c>
      <c r="V21" s="1">
        <f>IF(ISBLANK('2021'!V21),"",'2021'!V21-'2018'!V21)</f>
        <v>-7.8011000000000053E-3</v>
      </c>
      <c r="W21" s="1">
        <f>IF(ISBLANK('2021'!W21),"",'2021'!W21-'2018'!W21)</f>
        <v>8.4189999999999543E-3</v>
      </c>
      <c r="X21" s="1">
        <f>IF(ISBLANK('2021'!X21),"",'2021'!X21-'2018'!X21)</f>
        <v>8.0471000000001958E-3</v>
      </c>
      <c r="Y21" s="1">
        <f>IF(ISBLANK('2021'!Y21),"",'2021'!Y21-'2018'!Y21)</f>
        <v>7.2151999999996441E-3</v>
      </c>
      <c r="Z21" s="1">
        <f>IF(ISBLANK('2021'!Z21),"",'2021'!Z21-'2018'!Z21)</f>
        <v>1.7274400000000245E-2</v>
      </c>
      <c r="AA21" s="1" t="str">
        <f>IF(ISBLANK('2021'!AA21),"",'2021'!AA21-'2018'!AA21)</f>
        <v/>
      </c>
      <c r="AB21" s="1">
        <f>IF(ISBLANK('2021'!AB21),"",'2021'!AB21-'2018'!AB21)</f>
        <v>-1.1211700000000047E-2</v>
      </c>
      <c r="AC21" s="1">
        <f>IF(ISBLANK('2021'!AC21),"",'2021'!AC21-'2018'!AC21)</f>
        <v>-1.1211700000000047E-2</v>
      </c>
      <c r="AD21" s="1">
        <f>IF(ISBLANK('2021'!AD21),"",'2021'!AD21-'2018'!AD21)</f>
        <v>-1.1211700000000047E-2</v>
      </c>
      <c r="AE21" s="1" t="str">
        <f>IF(ISBLANK('2021'!AE21),"",'2021'!AE21-'2018'!AE21)</f>
        <v/>
      </c>
      <c r="AF21" s="1">
        <f>IF(ISBLANK('2021'!AF21),"",'2021'!AF21-'2018'!AF21)</f>
        <v>-1.1211700000000047E-2</v>
      </c>
      <c r="AG21" s="1">
        <f>IF(ISBLANK('2021'!AG21),"",'2021'!AG21-'2018'!AG21)</f>
        <v>-1.1211700000000047E-2</v>
      </c>
      <c r="AH21" s="1" t="str">
        <f>IF(ISBLANK('2021'!AH21),"",'2021'!AH21-'2018'!AH21)</f>
        <v/>
      </c>
      <c r="AI21" s="1" t="str">
        <f>IF(ISBLANK('2021'!AI21),"",'2021'!AI21-'2018'!AI21)</f>
        <v/>
      </c>
    </row>
    <row r="22" spans="3:35" x14ac:dyDescent="0.25">
      <c r="C22" t="str">
        <f t="shared" si="1"/>
        <v>10010</v>
      </c>
      <c r="D22" s="1" t="str">
        <f>IF(ISBLANK('2021'!D22),"",'2021'!D22-'2018'!D22)</f>
        <v/>
      </c>
      <c r="E22" s="1" t="str">
        <f>IF(ISBLANK('2021'!E22),"",'2021'!E22-'2018'!E22)</f>
        <v/>
      </c>
      <c r="F22" s="1" t="str">
        <f>IF(ISBLANK('2021'!F22),"",'2021'!F22-'2018'!F22)</f>
        <v/>
      </c>
      <c r="G22" s="1" t="str">
        <f>IF(ISBLANK('2021'!G22),"",'2021'!G22-'2018'!G22)</f>
        <v/>
      </c>
      <c r="H22" s="1" t="str">
        <f>IF(ISBLANK('2021'!H22),"",'2021'!H22-'2018'!H22)</f>
        <v/>
      </c>
      <c r="I22" s="1" t="str">
        <f>IF(ISBLANK('2021'!I22),"",'2021'!I22-'2018'!I22)</f>
        <v/>
      </c>
      <c r="J22" s="1" t="str">
        <f>IF(ISBLANK('2021'!J22),"",'2021'!J22-'2018'!J22)</f>
        <v/>
      </c>
      <c r="K22" s="1" t="str">
        <f>IF(ISBLANK('2021'!K22),"",'2021'!K22-'2018'!K22)</f>
        <v/>
      </c>
      <c r="L22" s="1" t="str">
        <f>IF(ISBLANK('2021'!L22),"",'2021'!L22-'2018'!L22)</f>
        <v/>
      </c>
      <c r="M22" s="1" t="str">
        <f>IF(ISBLANK('2021'!M22),"",'2021'!M22-'2018'!M22)</f>
        <v/>
      </c>
      <c r="N22" s="1" t="str">
        <f>IF(ISBLANK('2021'!N22),"",'2021'!N22-'2018'!N22)</f>
        <v/>
      </c>
      <c r="O22" s="1" t="str">
        <f>IF(ISBLANK('2021'!O22),"",'2021'!O22-'2018'!O22)</f>
        <v/>
      </c>
      <c r="P22" s="1" t="str">
        <f>IF(ISBLANK('2021'!P22),"",'2021'!P22-'2018'!P22)</f>
        <v/>
      </c>
      <c r="Q22" s="1" t="str">
        <f>IF(ISBLANK('2021'!Q22),"",'2021'!Q22-'2018'!Q22)</f>
        <v/>
      </c>
      <c r="R22" s="1" t="str">
        <f>IF(ISBLANK('2021'!R22),"",'2021'!R22-'2018'!R22)</f>
        <v/>
      </c>
      <c r="S22" s="1" t="str">
        <f>IF(ISBLANK('2021'!S22),"",'2021'!S22-'2018'!S22)</f>
        <v/>
      </c>
      <c r="T22" s="1">
        <f>IF(ISBLANK('2021'!T22),"",'2021'!T22-'2018'!T22)</f>
        <v>2.1602999999998929E-3</v>
      </c>
      <c r="U22" s="1">
        <f>IF(ISBLANK('2021'!U22),"",'2021'!U22-'2018'!U22)</f>
        <v>7.8011000000000053E-3</v>
      </c>
      <c r="V22" s="1">
        <f>IF(ISBLANK('2021'!V22),"",'2021'!V22-'2018'!V22)</f>
        <v>0</v>
      </c>
      <c r="W22" s="1">
        <f>IF(ISBLANK('2021'!W22),"",'2021'!W22-'2018'!W22)</f>
        <v>1.622009999999996E-2</v>
      </c>
      <c r="X22" s="1">
        <f>IF(ISBLANK('2021'!X22),"",'2021'!X22-'2018'!X22)</f>
        <v>1.5848200000000201E-2</v>
      </c>
      <c r="Y22" s="1">
        <f>IF(ISBLANK('2021'!Y22),"",'2021'!Y22-'2018'!Y22)</f>
        <v>1.5016299999999649E-2</v>
      </c>
      <c r="Z22" s="1">
        <f>IF(ISBLANK('2021'!Z22),"",'2021'!Z22-'2018'!Z22)</f>
        <v>2.507550000000025E-2</v>
      </c>
      <c r="AA22" s="1" t="str">
        <f>IF(ISBLANK('2021'!AA22),"",'2021'!AA22-'2018'!AA22)</f>
        <v/>
      </c>
      <c r="AB22" s="1">
        <f>IF(ISBLANK('2021'!AB22),"",'2021'!AB22-'2018'!AB22)</f>
        <v>-3.4106000000000414E-3</v>
      </c>
      <c r="AC22" s="1">
        <f>IF(ISBLANK('2021'!AC22),"",'2021'!AC22-'2018'!AC22)</f>
        <v>-3.4106000000000414E-3</v>
      </c>
      <c r="AD22" s="1">
        <f>IF(ISBLANK('2021'!AD22),"",'2021'!AD22-'2018'!AD22)</f>
        <v>-3.4106000000000414E-3</v>
      </c>
      <c r="AE22" s="1" t="str">
        <f>IF(ISBLANK('2021'!AE22),"",'2021'!AE22-'2018'!AE22)</f>
        <v/>
      </c>
      <c r="AF22" s="1">
        <f>IF(ISBLANK('2021'!AF22),"",'2021'!AF22-'2018'!AF22)</f>
        <v>-3.4106000000000414E-3</v>
      </c>
      <c r="AG22" s="1">
        <f>IF(ISBLANK('2021'!AG22),"",'2021'!AG22-'2018'!AG22)</f>
        <v>-3.4106000000000414E-3</v>
      </c>
      <c r="AH22" s="1" t="str">
        <f>IF(ISBLANK('2021'!AH22),"",'2021'!AH22-'2018'!AH22)</f>
        <v/>
      </c>
      <c r="AI22" s="1" t="str">
        <f>IF(ISBLANK('2021'!AI22),"",'2021'!AI22-'2018'!AI22)</f>
        <v/>
      </c>
    </row>
    <row r="23" spans="3:35" x14ac:dyDescent="0.25">
      <c r="C23" t="str">
        <f t="shared" si="1"/>
        <v>10011</v>
      </c>
      <c r="D23" s="1" t="str">
        <f>IF(ISBLANK('2021'!D23),"",'2021'!D23-'2018'!D23)</f>
        <v/>
      </c>
      <c r="E23" s="1" t="str">
        <f>IF(ISBLANK('2021'!E23),"",'2021'!E23-'2018'!E23)</f>
        <v/>
      </c>
      <c r="F23" s="1" t="str">
        <f>IF(ISBLANK('2021'!F23),"",'2021'!F23-'2018'!F23)</f>
        <v/>
      </c>
      <c r="G23" s="1" t="str">
        <f>IF(ISBLANK('2021'!G23),"",'2021'!G23-'2018'!G23)</f>
        <v/>
      </c>
      <c r="H23" s="1" t="str">
        <f>IF(ISBLANK('2021'!H23),"",'2021'!H23-'2018'!H23)</f>
        <v/>
      </c>
      <c r="I23" s="1" t="str">
        <f>IF(ISBLANK('2021'!I23),"",'2021'!I23-'2018'!I23)</f>
        <v/>
      </c>
      <c r="J23" s="1" t="str">
        <f>IF(ISBLANK('2021'!J23),"",'2021'!J23-'2018'!J23)</f>
        <v/>
      </c>
      <c r="K23" s="1" t="str">
        <f>IF(ISBLANK('2021'!K23),"",'2021'!K23-'2018'!K23)</f>
        <v/>
      </c>
      <c r="L23" s="1" t="str">
        <f>IF(ISBLANK('2021'!L23),"",'2021'!L23-'2018'!L23)</f>
        <v/>
      </c>
      <c r="M23" s="1" t="str">
        <f>IF(ISBLANK('2021'!M23),"",'2021'!M23-'2018'!M23)</f>
        <v/>
      </c>
      <c r="N23" s="1" t="str">
        <f>IF(ISBLANK('2021'!N23),"",'2021'!N23-'2018'!N23)</f>
        <v/>
      </c>
      <c r="O23" s="1" t="str">
        <f>IF(ISBLANK('2021'!O23),"",'2021'!O23-'2018'!O23)</f>
        <v/>
      </c>
      <c r="P23" s="1" t="str">
        <f>IF(ISBLANK('2021'!P23),"",'2021'!P23-'2018'!P23)</f>
        <v/>
      </c>
      <c r="Q23" s="1" t="str">
        <f>IF(ISBLANK('2021'!Q23),"",'2021'!Q23-'2018'!Q23)</f>
        <v/>
      </c>
      <c r="R23" s="1" t="str">
        <f>IF(ISBLANK('2021'!R23),"",'2021'!R23-'2018'!R23)</f>
        <v/>
      </c>
      <c r="S23" s="1" t="str">
        <f>IF(ISBLANK('2021'!S23),"",'2021'!S23-'2018'!S23)</f>
        <v/>
      </c>
      <c r="T23" s="1">
        <f>IF(ISBLANK('2021'!T23),"",'2021'!T23-'2018'!T23)</f>
        <v>-1.4059800000000511E-2</v>
      </c>
      <c r="U23" s="1">
        <f>IF(ISBLANK('2021'!U23),"",'2021'!U23-'2018'!U23)</f>
        <v>-8.4190000000003984E-3</v>
      </c>
      <c r="V23" s="1">
        <f>IF(ISBLANK('2021'!V23),"",'2021'!V23-'2018'!V23)</f>
        <v>-1.6220100000000404E-2</v>
      </c>
      <c r="W23" s="1">
        <f>IF(ISBLANK('2021'!W23),"",'2021'!W23-'2018'!W23)</f>
        <v>0</v>
      </c>
      <c r="X23" s="1">
        <f>IF(ISBLANK('2021'!X23),"",'2021'!X23-'2018'!X23)</f>
        <v>-3.7189999999975853E-4</v>
      </c>
      <c r="Y23" s="1">
        <f>IF(ISBLANK('2021'!Y23),"",'2021'!Y23-'2018'!Y23)</f>
        <v>-1.2038000000007543E-3</v>
      </c>
      <c r="Z23" s="1">
        <f>IF(ISBLANK('2021'!Z23),"",'2021'!Z23-'2018'!Z23)</f>
        <v>8.8553999999998467E-3</v>
      </c>
      <c r="AA23" s="1">
        <f>IF(ISBLANK('2021'!AA23),"",'2021'!AA23-'2018'!AA23)</f>
        <v>4.3794499999999736E-2</v>
      </c>
      <c r="AB23" s="1">
        <f>IF(ISBLANK('2021'!AB23),"",'2021'!AB23-'2018'!AB23)</f>
        <v>-1.9630700000000001E-2</v>
      </c>
      <c r="AC23" s="1">
        <f>IF(ISBLANK('2021'!AC23),"",'2021'!AC23-'2018'!AC23)</f>
        <v>-1.9630700000000001E-2</v>
      </c>
      <c r="AD23" s="1">
        <f>IF(ISBLANK('2021'!AD23),"",'2021'!AD23-'2018'!AD23)</f>
        <v>-1.9630700000000001E-2</v>
      </c>
      <c r="AE23" s="1">
        <f>IF(ISBLANK('2021'!AE23),"",'2021'!AE23-'2018'!AE23)</f>
        <v>-1.9630700000000001E-2</v>
      </c>
      <c r="AF23" s="1">
        <f>IF(ISBLANK('2021'!AF23),"",'2021'!AF23-'2018'!AF23)</f>
        <v>-1.9630700000000001E-2</v>
      </c>
      <c r="AG23" s="1">
        <f>IF(ISBLANK('2021'!AG23),"",'2021'!AG23-'2018'!AG23)</f>
        <v>-1.9630700000000001E-2</v>
      </c>
      <c r="AH23" s="1">
        <f>IF(ISBLANK('2021'!AH23),"",'2021'!AH23-'2018'!AH23)</f>
        <v>-1.9630700000000001E-2</v>
      </c>
      <c r="AI23" s="1" t="str">
        <f>IF(ISBLANK('2021'!AI23),"",'2021'!AI23-'2018'!AI23)</f>
        <v/>
      </c>
    </row>
    <row r="24" spans="3:35" x14ac:dyDescent="0.25">
      <c r="C24" t="str">
        <f t="shared" si="1"/>
        <v>10100</v>
      </c>
      <c r="D24" s="1" t="str">
        <f>IF(ISBLANK('2021'!D24),"",'2021'!D24-'2018'!D24)</f>
        <v/>
      </c>
      <c r="E24" s="1" t="str">
        <f>IF(ISBLANK('2021'!E24),"",'2021'!E24-'2018'!E24)</f>
        <v/>
      </c>
      <c r="F24" s="1" t="str">
        <f>IF(ISBLANK('2021'!F24),"",'2021'!F24-'2018'!F24)</f>
        <v/>
      </c>
      <c r="G24" s="1" t="str">
        <f>IF(ISBLANK('2021'!G24),"",'2021'!G24-'2018'!G24)</f>
        <v/>
      </c>
      <c r="H24" s="1" t="str">
        <f>IF(ISBLANK('2021'!H24),"",'2021'!H24-'2018'!H24)</f>
        <v/>
      </c>
      <c r="I24" s="1" t="str">
        <f>IF(ISBLANK('2021'!I24),"",'2021'!I24-'2018'!I24)</f>
        <v/>
      </c>
      <c r="J24" s="1" t="str">
        <f>IF(ISBLANK('2021'!J24),"",'2021'!J24-'2018'!J24)</f>
        <v/>
      </c>
      <c r="K24" s="1" t="str">
        <f>IF(ISBLANK('2021'!K24),"",'2021'!K24-'2018'!K24)</f>
        <v/>
      </c>
      <c r="L24" s="1" t="str">
        <f>IF(ISBLANK('2021'!L24),"",'2021'!L24-'2018'!L24)</f>
        <v/>
      </c>
      <c r="M24" s="1" t="str">
        <f>IF(ISBLANK('2021'!M24),"",'2021'!M24-'2018'!M24)</f>
        <v/>
      </c>
      <c r="N24" s="1" t="str">
        <f>IF(ISBLANK('2021'!N24),"",'2021'!N24-'2018'!N24)</f>
        <v/>
      </c>
      <c r="O24" s="1" t="str">
        <f>IF(ISBLANK('2021'!O24),"",'2021'!O24-'2018'!O24)</f>
        <v/>
      </c>
      <c r="P24" s="1" t="str">
        <f>IF(ISBLANK('2021'!P24),"",'2021'!P24-'2018'!P24)</f>
        <v/>
      </c>
      <c r="Q24" s="1" t="str">
        <f>IF(ISBLANK('2021'!Q24),"",'2021'!Q24-'2018'!Q24)</f>
        <v/>
      </c>
      <c r="R24" s="1" t="str">
        <f>IF(ISBLANK('2021'!R24),"",'2021'!R24-'2018'!R24)</f>
        <v/>
      </c>
      <c r="S24" s="1" t="str">
        <f>IF(ISBLANK('2021'!S24),"",'2021'!S24-'2018'!S24)</f>
        <v/>
      </c>
      <c r="T24" s="1">
        <f>IF(ISBLANK('2021'!T24),"",'2021'!T24-'2018'!T24)</f>
        <v>-1.3687900000000308E-2</v>
      </c>
      <c r="U24" s="1">
        <f>IF(ISBLANK('2021'!U24),"",'2021'!U24-'2018'!U24)</f>
        <v>-8.0470999999997517E-3</v>
      </c>
      <c r="V24" s="1">
        <f>IF(ISBLANK('2021'!V24),"",'2021'!V24-'2018'!V24)</f>
        <v>-1.5848199999999757E-2</v>
      </c>
      <c r="W24" s="1" t="str">
        <f>IF(ISBLANK('2021'!W24),"",'2021'!W24-'2018'!W24)</f>
        <v/>
      </c>
      <c r="X24" s="1">
        <f>IF(ISBLANK('2021'!X24),"",'2021'!X24-'2018'!X24)</f>
        <v>0</v>
      </c>
      <c r="Y24" s="1">
        <f>IF(ISBLANK('2021'!Y24),"",'2021'!Y24-'2018'!Y24)</f>
        <v>-8.3190000000055164E-4</v>
      </c>
      <c r="Z24" s="1">
        <f>IF(ISBLANK('2021'!Z24),"",'2021'!Z24-'2018'!Z24)</f>
        <v>9.2273000000000494E-3</v>
      </c>
      <c r="AA24" s="1" t="str">
        <f>IF(ISBLANK('2021'!AA24),"",'2021'!AA24-'2018'!AA24)</f>
        <v/>
      </c>
      <c r="AB24" s="1">
        <f>IF(ISBLANK('2021'!AB24),"",'2021'!AB24-'2018'!AB24)</f>
        <v>-1.9258800000000242E-2</v>
      </c>
      <c r="AC24" s="1">
        <f>IF(ISBLANK('2021'!AC24),"",'2021'!AC24-'2018'!AC24)</f>
        <v>-1.9258800000000242E-2</v>
      </c>
      <c r="AD24" s="1">
        <f>IF(ISBLANK('2021'!AD24),"",'2021'!AD24-'2018'!AD24)</f>
        <v>-1.9258800000000242E-2</v>
      </c>
      <c r="AE24" s="1" t="str">
        <f>IF(ISBLANK('2021'!AE24),"",'2021'!AE24-'2018'!AE24)</f>
        <v/>
      </c>
      <c r="AF24" s="1">
        <f>IF(ISBLANK('2021'!AF24),"",'2021'!AF24-'2018'!AF24)</f>
        <v>-1.9258800000000242E-2</v>
      </c>
      <c r="AG24" s="1">
        <f>IF(ISBLANK('2021'!AG24),"",'2021'!AG24-'2018'!AG24)</f>
        <v>-1.9258800000000242E-2</v>
      </c>
      <c r="AH24" s="1" t="str">
        <f>IF(ISBLANK('2021'!AH24),"",'2021'!AH24-'2018'!AH24)</f>
        <v/>
      </c>
      <c r="AI24" s="1" t="str">
        <f>IF(ISBLANK('2021'!AI24),"",'2021'!AI24-'2018'!AI24)</f>
        <v/>
      </c>
    </row>
    <row r="25" spans="3:35" x14ac:dyDescent="0.25">
      <c r="C25" t="str">
        <f t="shared" si="1"/>
        <v>10101</v>
      </c>
      <c r="D25" s="1" t="str">
        <f>IF(ISBLANK('2021'!D25),"",'2021'!D25-'2018'!D25)</f>
        <v/>
      </c>
      <c r="E25" s="1" t="str">
        <f>IF(ISBLANK('2021'!E25),"",'2021'!E25-'2018'!E25)</f>
        <v/>
      </c>
      <c r="F25" s="1" t="str">
        <f>IF(ISBLANK('2021'!F25),"",'2021'!F25-'2018'!F25)</f>
        <v/>
      </c>
      <c r="G25" s="1" t="str">
        <f>IF(ISBLANK('2021'!G25),"",'2021'!G25-'2018'!G25)</f>
        <v/>
      </c>
      <c r="H25" s="1" t="str">
        <f>IF(ISBLANK('2021'!H25),"",'2021'!H25-'2018'!H25)</f>
        <v/>
      </c>
      <c r="I25" s="1" t="str">
        <f>IF(ISBLANK('2021'!I25),"",'2021'!I25-'2018'!I25)</f>
        <v/>
      </c>
      <c r="J25" s="1" t="str">
        <f>IF(ISBLANK('2021'!J25),"",'2021'!J25-'2018'!J25)</f>
        <v/>
      </c>
      <c r="K25" s="1" t="str">
        <f>IF(ISBLANK('2021'!K25),"",'2021'!K25-'2018'!K25)</f>
        <v/>
      </c>
      <c r="L25" s="1" t="str">
        <f>IF(ISBLANK('2021'!L25),"",'2021'!L25-'2018'!L25)</f>
        <v/>
      </c>
      <c r="M25" s="1" t="str">
        <f>IF(ISBLANK('2021'!M25),"",'2021'!M25-'2018'!M25)</f>
        <v/>
      </c>
      <c r="N25" s="1" t="str">
        <f>IF(ISBLANK('2021'!N25),"",'2021'!N25-'2018'!N25)</f>
        <v/>
      </c>
      <c r="O25" s="1" t="str">
        <f>IF(ISBLANK('2021'!O25),"",'2021'!O25-'2018'!O25)</f>
        <v/>
      </c>
      <c r="P25" s="1" t="str">
        <f>IF(ISBLANK('2021'!P25),"",'2021'!P25-'2018'!P25)</f>
        <v/>
      </c>
      <c r="Q25" s="1" t="str">
        <f>IF(ISBLANK('2021'!Q25),"",'2021'!Q25-'2018'!Q25)</f>
        <v/>
      </c>
      <c r="R25" s="1" t="str">
        <f>IF(ISBLANK('2021'!R25),"",'2021'!R25-'2018'!R25)</f>
        <v/>
      </c>
      <c r="S25" s="1" t="str">
        <f>IF(ISBLANK('2021'!S25),"",'2021'!S25-'2018'!S25)</f>
        <v/>
      </c>
      <c r="T25" s="1">
        <f>IF(ISBLANK('2021'!T25),"",'2021'!T25-'2018'!T25)</f>
        <v>-1.2856000000000201E-2</v>
      </c>
      <c r="U25" s="1">
        <f>IF(ISBLANK('2021'!U25),"",'2021'!U25-'2018'!U25)</f>
        <v>-7.2152000000000882E-3</v>
      </c>
      <c r="V25" s="1">
        <f>IF(ISBLANK('2021'!V25),"",'2021'!V25-'2018'!V25)</f>
        <v>-1.5016300000000093E-2</v>
      </c>
      <c r="W25" s="1">
        <f>IF(ISBLANK('2021'!W25),"",'2021'!W25-'2018'!W25)</f>
        <v>1.2038000000007543E-3</v>
      </c>
      <c r="X25" s="1">
        <f>IF(ISBLANK('2021'!X25),"",'2021'!X25-'2018'!X25)</f>
        <v>8.3190000000055164E-4</v>
      </c>
      <c r="Y25" s="1">
        <f>IF(ISBLANK('2021'!Y25),"",'2021'!Y25-'2018'!Y25)</f>
        <v>0</v>
      </c>
      <c r="Z25" s="1">
        <f>IF(ISBLANK('2021'!Z25),"",'2021'!Z25-'2018'!Z25)</f>
        <v>1.0059200000000601E-2</v>
      </c>
      <c r="AA25" s="1">
        <f>IF(ISBLANK('2021'!AA25),"",'2021'!AA25-'2018'!AA25)</f>
        <v>4.4998300000000491E-2</v>
      </c>
      <c r="AB25" s="1">
        <f>IF(ISBLANK('2021'!AB25),"",'2021'!AB25-'2018'!AB25)</f>
        <v>-1.8426899999999691E-2</v>
      </c>
      <c r="AC25" s="1">
        <f>IF(ISBLANK('2021'!AC25),"",'2021'!AC25-'2018'!AC25)</f>
        <v>-1.8426899999999691E-2</v>
      </c>
      <c r="AD25" s="1">
        <f>IF(ISBLANK('2021'!AD25),"",'2021'!AD25-'2018'!AD25)</f>
        <v>-1.8426899999999691E-2</v>
      </c>
      <c r="AE25" s="1">
        <f>IF(ISBLANK('2021'!AE25),"",'2021'!AE25-'2018'!AE25)</f>
        <v>-1.8426899999999691E-2</v>
      </c>
      <c r="AF25" s="1">
        <f>IF(ISBLANK('2021'!AF25),"",'2021'!AF25-'2018'!AF25)</f>
        <v>-1.8426899999999691E-2</v>
      </c>
      <c r="AG25" s="1">
        <f>IF(ISBLANK('2021'!AG25),"",'2021'!AG25-'2018'!AG25)</f>
        <v>-1.8426899999999691E-2</v>
      </c>
      <c r="AH25" s="1">
        <f>IF(ISBLANK('2021'!AH25),"",'2021'!AH25-'2018'!AH25)</f>
        <v>-1.8426899999999691E-2</v>
      </c>
      <c r="AI25" s="1" t="str">
        <f>IF(ISBLANK('2021'!AI25),"",'2021'!AI25-'2018'!AI25)</f>
        <v/>
      </c>
    </row>
    <row r="26" spans="3:35" x14ac:dyDescent="0.25">
      <c r="C26" t="str">
        <f t="shared" si="1"/>
        <v>10110</v>
      </c>
      <c r="D26" s="1" t="str">
        <f>IF(ISBLANK('2021'!D26),"",'2021'!D26-'2018'!D26)</f>
        <v/>
      </c>
      <c r="E26" s="1" t="str">
        <f>IF(ISBLANK('2021'!E26),"",'2021'!E26-'2018'!E26)</f>
        <v/>
      </c>
      <c r="F26" s="1" t="str">
        <f>IF(ISBLANK('2021'!F26),"",'2021'!F26-'2018'!F26)</f>
        <v/>
      </c>
      <c r="G26" s="1" t="str">
        <f>IF(ISBLANK('2021'!G26),"",'2021'!G26-'2018'!G26)</f>
        <v/>
      </c>
      <c r="H26" s="1" t="str">
        <f>IF(ISBLANK('2021'!H26),"",'2021'!H26-'2018'!H26)</f>
        <v/>
      </c>
      <c r="I26" s="1" t="str">
        <f>IF(ISBLANK('2021'!I26),"",'2021'!I26-'2018'!I26)</f>
        <v/>
      </c>
      <c r="J26" s="1" t="str">
        <f>IF(ISBLANK('2021'!J26),"",'2021'!J26-'2018'!J26)</f>
        <v/>
      </c>
      <c r="K26" s="1" t="str">
        <f>IF(ISBLANK('2021'!K26),"",'2021'!K26-'2018'!K26)</f>
        <v/>
      </c>
      <c r="L26" s="1" t="str">
        <f>IF(ISBLANK('2021'!L26),"",'2021'!L26-'2018'!L26)</f>
        <v/>
      </c>
      <c r="M26" s="1" t="str">
        <f>IF(ISBLANK('2021'!M26),"",'2021'!M26-'2018'!M26)</f>
        <v/>
      </c>
      <c r="N26" s="1" t="str">
        <f>IF(ISBLANK('2021'!N26),"",'2021'!N26-'2018'!N26)</f>
        <v/>
      </c>
      <c r="O26" s="1" t="str">
        <f>IF(ISBLANK('2021'!O26),"",'2021'!O26-'2018'!O26)</f>
        <v/>
      </c>
      <c r="P26" s="1" t="str">
        <f>IF(ISBLANK('2021'!P26),"",'2021'!P26-'2018'!P26)</f>
        <v/>
      </c>
      <c r="Q26" s="1" t="str">
        <f>IF(ISBLANK('2021'!Q26),"",'2021'!Q26-'2018'!Q26)</f>
        <v/>
      </c>
      <c r="R26" s="1" t="str">
        <f>IF(ISBLANK('2021'!R26),"",'2021'!R26-'2018'!R26)</f>
        <v/>
      </c>
      <c r="S26" s="1" t="str">
        <f>IF(ISBLANK('2021'!S26),"",'2021'!S26-'2018'!S26)</f>
        <v/>
      </c>
      <c r="T26" s="1">
        <f>IF(ISBLANK('2021'!T26),"",'2021'!T26-'2018'!T26)</f>
        <v>-2.2915200000000802E-2</v>
      </c>
      <c r="U26" s="1">
        <f>IF(ISBLANK('2021'!U26),"",'2021'!U26-'2018'!U26)</f>
        <v>-1.7274400000000689E-2</v>
      </c>
      <c r="V26" s="1">
        <f>IF(ISBLANK('2021'!V26),"",'2021'!V26-'2018'!V26)</f>
        <v>-2.5075500000000694E-2</v>
      </c>
      <c r="W26" s="1">
        <f>IF(ISBLANK('2021'!W26),"",'2021'!W26-'2018'!W26)</f>
        <v>-8.8553999999998467E-3</v>
      </c>
      <c r="X26" s="1">
        <f>IF(ISBLANK('2021'!X26),"",'2021'!X26-'2018'!X26)</f>
        <v>-9.2273000000000494E-3</v>
      </c>
      <c r="Y26" s="1">
        <f>IF(ISBLANK('2021'!Y26),"",'2021'!Y26-'2018'!Y26)</f>
        <v>-1.0059200000000601E-2</v>
      </c>
      <c r="Z26" s="1">
        <f>IF(ISBLANK('2021'!Z26),"",'2021'!Z26-'2018'!Z26)</f>
        <v>0</v>
      </c>
      <c r="AA26" s="1">
        <f>IF(ISBLANK('2021'!AA26),"",'2021'!AA26-'2018'!AA26)</f>
        <v>3.493909999999989E-2</v>
      </c>
      <c r="AB26" s="1">
        <f>IF(ISBLANK('2021'!AB26),"",'2021'!AB26-'2018'!AB26)</f>
        <v>-2.8486100000000292E-2</v>
      </c>
      <c r="AC26" s="1">
        <f>IF(ISBLANK('2021'!AC26),"",'2021'!AC26-'2018'!AC26)</f>
        <v>-2.8486100000000292E-2</v>
      </c>
      <c r="AD26" s="1">
        <f>IF(ISBLANK('2021'!AD26),"",'2021'!AD26-'2018'!AD26)</f>
        <v>-2.8486100000000292E-2</v>
      </c>
      <c r="AE26" s="1">
        <f>IF(ISBLANK('2021'!AE26),"",'2021'!AE26-'2018'!AE26)</f>
        <v>-2.8486100000000292E-2</v>
      </c>
      <c r="AF26" s="1">
        <f>IF(ISBLANK('2021'!AF26),"",'2021'!AF26-'2018'!AF26)</f>
        <v>-2.8486100000000292E-2</v>
      </c>
      <c r="AG26" s="1">
        <f>IF(ISBLANK('2021'!AG26),"",'2021'!AG26-'2018'!AG26)</f>
        <v>-2.8486100000000292E-2</v>
      </c>
      <c r="AH26" s="1">
        <f>IF(ISBLANK('2021'!AH26),"",'2021'!AH26-'2018'!AH26)</f>
        <v>-2.8486100000000292E-2</v>
      </c>
      <c r="AI26" s="1" t="str">
        <f>IF(ISBLANK('2021'!AI26),"",'2021'!AI26-'2018'!AI26)</f>
        <v/>
      </c>
    </row>
    <row r="27" spans="3:35" x14ac:dyDescent="0.25">
      <c r="C27" t="str">
        <f t="shared" si="1"/>
        <v>10111</v>
      </c>
      <c r="D27" s="1" t="str">
        <f>IF(ISBLANK('2021'!D27),"",'2021'!D27-'2018'!D27)</f>
        <v/>
      </c>
      <c r="E27" s="1" t="str">
        <f>IF(ISBLANK('2021'!E27),"",'2021'!E27-'2018'!E27)</f>
        <v/>
      </c>
      <c r="F27" s="1" t="str">
        <f>IF(ISBLANK('2021'!F27),"",'2021'!F27-'2018'!F27)</f>
        <v/>
      </c>
      <c r="G27" s="1" t="str">
        <f>IF(ISBLANK('2021'!G27),"",'2021'!G27-'2018'!G27)</f>
        <v/>
      </c>
      <c r="H27" s="1" t="str">
        <f>IF(ISBLANK('2021'!H27),"",'2021'!H27-'2018'!H27)</f>
        <v/>
      </c>
      <c r="I27" s="1" t="str">
        <f>IF(ISBLANK('2021'!I27),"",'2021'!I27-'2018'!I27)</f>
        <v/>
      </c>
      <c r="J27" s="1" t="str">
        <f>IF(ISBLANK('2021'!J27),"",'2021'!J27-'2018'!J27)</f>
        <v/>
      </c>
      <c r="K27" s="1" t="str">
        <f>IF(ISBLANK('2021'!K27),"",'2021'!K27-'2018'!K27)</f>
        <v/>
      </c>
      <c r="L27" s="1" t="str">
        <f>IF(ISBLANK('2021'!L27),"",'2021'!L27-'2018'!L27)</f>
        <v/>
      </c>
      <c r="M27" s="1" t="str">
        <f>IF(ISBLANK('2021'!M27),"",'2021'!M27-'2018'!M27)</f>
        <v/>
      </c>
      <c r="N27" s="1" t="str">
        <f>IF(ISBLANK('2021'!N27),"",'2021'!N27-'2018'!N27)</f>
        <v/>
      </c>
      <c r="O27" s="1" t="str">
        <f>IF(ISBLANK('2021'!O27),"",'2021'!O27-'2018'!O27)</f>
        <v/>
      </c>
      <c r="P27" s="1" t="str">
        <f>IF(ISBLANK('2021'!P27),"",'2021'!P27-'2018'!P27)</f>
        <v/>
      </c>
      <c r="Q27" s="1" t="str">
        <f>IF(ISBLANK('2021'!Q27),"",'2021'!Q27-'2018'!Q27)</f>
        <v/>
      </c>
      <c r="R27" s="1" t="str">
        <f>IF(ISBLANK('2021'!R27),"",'2021'!R27-'2018'!R27)</f>
        <v/>
      </c>
      <c r="S27" s="1" t="str">
        <f>IF(ISBLANK('2021'!S27),"",'2021'!S27-'2018'!S27)</f>
        <v/>
      </c>
      <c r="T27" s="1">
        <f>IF(ISBLANK('2021'!T27),"",'2021'!T27-'2018'!T27)</f>
        <v>-5.7854300000000691E-2</v>
      </c>
      <c r="U27" s="1">
        <f>IF(ISBLANK('2021'!U27),"",'2021'!U27-'2018'!U27)</f>
        <v>-5.2213500000000579E-2</v>
      </c>
      <c r="V27" s="1">
        <f>IF(ISBLANK('2021'!V27),"",'2021'!V27-'2018'!V27)</f>
        <v>-6.0014600000000584E-2</v>
      </c>
      <c r="W27" s="1">
        <f>IF(ISBLANK('2021'!W27),"",'2021'!W27-'2018'!W27)</f>
        <v>-4.3794499999999736E-2</v>
      </c>
      <c r="X27" s="1">
        <f>IF(ISBLANK('2021'!X27),"",'2021'!X27-'2018'!X27)</f>
        <v>-4.4166399999999939E-2</v>
      </c>
      <c r="Y27" s="1">
        <f>IF(ISBLANK('2021'!Y27),"",'2021'!Y27-'2018'!Y27)</f>
        <v>-4.4998300000000491E-2</v>
      </c>
      <c r="Z27" s="1">
        <f>IF(ISBLANK('2021'!Z27),"",'2021'!Z27-'2018'!Z27)</f>
        <v>-3.493909999999989E-2</v>
      </c>
      <c r="AA27" s="1">
        <f>IF(ISBLANK('2021'!AA27),"",'2021'!AA27-'2018'!AA27)</f>
        <v>0</v>
      </c>
      <c r="AB27" s="1">
        <f>IF(ISBLANK('2021'!AB27),"",'2021'!AB27-'2018'!AB27)</f>
        <v>-6.3425200000000181E-2</v>
      </c>
      <c r="AC27" s="1">
        <f>IF(ISBLANK('2021'!AC27),"",'2021'!AC27-'2018'!AC27)</f>
        <v>-6.3425200000000181E-2</v>
      </c>
      <c r="AD27" s="1">
        <f>IF(ISBLANK('2021'!AD27),"",'2021'!AD27-'2018'!AD27)</f>
        <v>-6.3425200000000181E-2</v>
      </c>
      <c r="AE27" s="1">
        <f>IF(ISBLANK('2021'!AE27),"",'2021'!AE27-'2018'!AE27)</f>
        <v>-6.3425200000000181E-2</v>
      </c>
      <c r="AF27" s="1">
        <f>IF(ISBLANK('2021'!AF27),"",'2021'!AF27-'2018'!AF27)</f>
        <v>-6.3425200000000181E-2</v>
      </c>
      <c r="AG27" s="1">
        <f>IF(ISBLANK('2021'!AG27),"",'2021'!AG27-'2018'!AG27)</f>
        <v>-6.3425200000000181E-2</v>
      </c>
      <c r="AH27" s="1">
        <f>IF(ISBLANK('2021'!AH27),"",'2021'!AH27-'2018'!AH27)</f>
        <v>-6.3425200000000181E-2</v>
      </c>
      <c r="AI27" s="1">
        <f>IF(ISBLANK('2021'!AI27),"",'2021'!AI27-'2018'!AI27)</f>
        <v>-6.3425200000000181E-2</v>
      </c>
    </row>
  </sheetData>
  <conditionalFormatting sqref="D4:AI2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L52"/>
  <sheetViews>
    <sheetView topLeftCell="A27" workbookViewId="0">
      <selection activeCell="AJ27" sqref="AJ27"/>
    </sheetView>
  </sheetViews>
  <sheetFormatPr defaultRowHeight="15" x14ac:dyDescent="0.25"/>
  <cols>
    <col min="2" max="2" width="6" bestFit="1" customWidth="1"/>
    <col min="3" max="3" width="3" bestFit="1" customWidth="1"/>
    <col min="4" max="4" width="3.7109375" bestFit="1" customWidth="1"/>
    <col min="5" max="5" width="4.5703125" bestFit="1" customWidth="1"/>
    <col min="6" max="11" width="3.7109375" bestFit="1" customWidth="1"/>
    <col min="12" max="12" width="5.28515625" bestFit="1" customWidth="1"/>
    <col min="13" max="18" width="4.28515625" bestFit="1" customWidth="1"/>
    <col min="19" max="19" width="3.7109375" bestFit="1" customWidth="1"/>
    <col min="20" max="20" width="5.28515625" bestFit="1" customWidth="1"/>
    <col min="21" max="35" width="4.28515625" bestFit="1" customWidth="1"/>
    <col min="36" max="36" width="7.5703125" bestFit="1" customWidth="1"/>
    <col min="37" max="37" width="7.7109375" bestFit="1" customWidth="1"/>
  </cols>
  <sheetData>
    <row r="2" spans="2:36" ht="31.5" x14ac:dyDescent="0.25">
      <c r="D2" s="12" t="str">
        <f>DEC2BIN(D3,5)</f>
        <v>00000</v>
      </c>
      <c r="E2" s="12" t="str">
        <f t="shared" ref="E2:AI2" si="0">DEC2BIN(E3,5)</f>
        <v>00001</v>
      </c>
      <c r="F2" s="12" t="str">
        <f t="shared" si="0"/>
        <v>00010</v>
      </c>
      <c r="G2" s="12" t="str">
        <f t="shared" si="0"/>
        <v>00011</v>
      </c>
      <c r="H2" s="12" t="str">
        <f t="shared" si="0"/>
        <v>00100</v>
      </c>
      <c r="I2" s="12" t="str">
        <f t="shared" si="0"/>
        <v>00101</v>
      </c>
      <c r="J2" s="12" t="str">
        <f t="shared" si="0"/>
        <v>00110</v>
      </c>
      <c r="K2" s="12" t="str">
        <f t="shared" si="0"/>
        <v>00111</v>
      </c>
      <c r="L2" s="12" t="str">
        <f t="shared" si="0"/>
        <v>01000</v>
      </c>
      <c r="M2" s="12" t="str">
        <f t="shared" si="0"/>
        <v>01001</v>
      </c>
      <c r="N2" s="12" t="str">
        <f t="shared" si="0"/>
        <v>01010</v>
      </c>
      <c r="O2" s="12" t="str">
        <f t="shared" si="0"/>
        <v>01011</v>
      </c>
      <c r="P2" s="12" t="str">
        <f t="shared" si="0"/>
        <v>01100</v>
      </c>
      <c r="Q2" s="12" t="str">
        <f t="shared" si="0"/>
        <v>01101</v>
      </c>
      <c r="R2" s="12" t="str">
        <f t="shared" si="0"/>
        <v>01110</v>
      </c>
      <c r="S2" s="12" t="str">
        <f t="shared" si="0"/>
        <v>01111</v>
      </c>
      <c r="T2" s="12" t="str">
        <f t="shared" si="0"/>
        <v>10000</v>
      </c>
      <c r="U2" s="12" t="str">
        <f t="shared" si="0"/>
        <v>10001</v>
      </c>
      <c r="V2" s="12" t="str">
        <f t="shared" si="0"/>
        <v>10010</v>
      </c>
      <c r="W2" s="12" t="str">
        <f t="shared" si="0"/>
        <v>10011</v>
      </c>
      <c r="X2" s="12" t="str">
        <f t="shared" si="0"/>
        <v>10100</v>
      </c>
      <c r="Y2" s="12" t="str">
        <f t="shared" si="0"/>
        <v>10101</v>
      </c>
      <c r="Z2" s="12" t="str">
        <f t="shared" si="0"/>
        <v>10110</v>
      </c>
      <c r="AA2" s="12" t="str">
        <f t="shared" si="0"/>
        <v>10111</v>
      </c>
      <c r="AB2" s="12" t="str">
        <f t="shared" si="0"/>
        <v>11000</v>
      </c>
      <c r="AC2" s="12" t="str">
        <f t="shared" si="0"/>
        <v>11001</v>
      </c>
      <c r="AD2" s="12" t="str">
        <f t="shared" si="0"/>
        <v>11010</v>
      </c>
      <c r="AE2" s="12" t="str">
        <f t="shared" si="0"/>
        <v>11011</v>
      </c>
      <c r="AF2" s="12" t="str">
        <f t="shared" si="0"/>
        <v>11100</v>
      </c>
      <c r="AG2" s="12" t="str">
        <f t="shared" si="0"/>
        <v>11101</v>
      </c>
      <c r="AH2" s="12" t="str">
        <f t="shared" si="0"/>
        <v>11110</v>
      </c>
      <c r="AI2" s="12" t="str">
        <f t="shared" si="0"/>
        <v>11111</v>
      </c>
    </row>
    <row r="3" spans="2:36" x14ac:dyDescent="0.25">
      <c r="D3">
        <f>COLUMN()-4</f>
        <v>0</v>
      </c>
      <c r="E3">
        <f t="shared" ref="E3:AI3" si="1">COLUMN()-4</f>
        <v>1</v>
      </c>
      <c r="F3">
        <f t="shared" si="1"/>
        <v>2</v>
      </c>
      <c r="G3">
        <f t="shared" si="1"/>
        <v>3</v>
      </c>
      <c r="H3">
        <f t="shared" si="1"/>
        <v>4</v>
      </c>
      <c r="I3">
        <f t="shared" si="1"/>
        <v>5</v>
      </c>
      <c r="J3">
        <f t="shared" si="1"/>
        <v>6</v>
      </c>
      <c r="K3">
        <f t="shared" si="1"/>
        <v>7</v>
      </c>
      <c r="L3">
        <f t="shared" si="1"/>
        <v>8</v>
      </c>
      <c r="M3">
        <f t="shared" si="1"/>
        <v>9</v>
      </c>
      <c r="N3">
        <f t="shared" si="1"/>
        <v>10</v>
      </c>
      <c r="O3">
        <f t="shared" si="1"/>
        <v>11</v>
      </c>
      <c r="P3">
        <f t="shared" si="1"/>
        <v>12</v>
      </c>
      <c r="Q3">
        <f t="shared" si="1"/>
        <v>13</v>
      </c>
      <c r="R3">
        <f t="shared" si="1"/>
        <v>14</v>
      </c>
      <c r="S3">
        <f t="shared" si="1"/>
        <v>15</v>
      </c>
      <c r="T3">
        <f t="shared" si="1"/>
        <v>16</v>
      </c>
      <c r="U3">
        <f t="shared" si="1"/>
        <v>17</v>
      </c>
      <c r="V3">
        <f t="shared" si="1"/>
        <v>18</v>
      </c>
      <c r="W3">
        <f t="shared" si="1"/>
        <v>19</v>
      </c>
      <c r="X3">
        <f t="shared" si="1"/>
        <v>20</v>
      </c>
      <c r="Y3">
        <f t="shared" si="1"/>
        <v>21</v>
      </c>
      <c r="Z3">
        <f t="shared" si="1"/>
        <v>22</v>
      </c>
      <c r="AA3">
        <f t="shared" si="1"/>
        <v>23</v>
      </c>
      <c r="AB3">
        <f t="shared" si="1"/>
        <v>24</v>
      </c>
      <c r="AC3">
        <f t="shared" si="1"/>
        <v>25</v>
      </c>
      <c r="AD3">
        <f t="shared" si="1"/>
        <v>26</v>
      </c>
      <c r="AE3">
        <f t="shared" si="1"/>
        <v>27</v>
      </c>
      <c r="AF3">
        <f t="shared" si="1"/>
        <v>28</v>
      </c>
      <c r="AG3">
        <f t="shared" si="1"/>
        <v>29</v>
      </c>
      <c r="AH3">
        <f t="shared" si="1"/>
        <v>30</v>
      </c>
      <c r="AI3">
        <f t="shared" si="1"/>
        <v>31</v>
      </c>
      <c r="AJ3">
        <f>SUM(AJ4:AJ27)</f>
        <v>633</v>
      </c>
    </row>
    <row r="4" spans="2:36" x14ac:dyDescent="0.25">
      <c r="B4" t="str">
        <f>DEC2BIN(C4,5)</f>
        <v>00000</v>
      </c>
      <c r="C4">
        <f>ROW()-4</f>
        <v>0</v>
      </c>
      <c r="D4">
        <v>7</v>
      </c>
      <c r="E4">
        <v>30</v>
      </c>
      <c r="F4">
        <v>5</v>
      </c>
      <c r="G4">
        <v>0</v>
      </c>
      <c r="H4">
        <v>0</v>
      </c>
      <c r="I4">
        <v>0</v>
      </c>
      <c r="J4">
        <v>0</v>
      </c>
      <c r="K4">
        <v>0</v>
      </c>
      <c r="L4">
        <v>80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f>SUM(D4:AI4)</f>
        <v>122</v>
      </c>
    </row>
    <row r="5" spans="2:36" x14ac:dyDescent="0.25">
      <c r="B5" t="str">
        <f t="shared" ref="B5:B27" si="2">DEC2BIN(C5,5)</f>
        <v>00001</v>
      </c>
      <c r="C5">
        <f t="shared" ref="C5:C27" si="3">ROW()-4</f>
        <v>1</v>
      </c>
      <c r="D5">
        <v>4</v>
      </c>
      <c r="E5">
        <v>0</v>
      </c>
      <c r="F5">
        <v>0</v>
      </c>
      <c r="G5">
        <v>8</v>
      </c>
      <c r="H5">
        <v>0</v>
      </c>
      <c r="I5">
        <v>0</v>
      </c>
      <c r="J5">
        <v>2</v>
      </c>
      <c r="K5">
        <v>0</v>
      </c>
      <c r="L5">
        <v>0</v>
      </c>
      <c r="M5">
        <v>13</v>
      </c>
      <c r="N5">
        <v>3</v>
      </c>
      <c r="O5">
        <v>0</v>
      </c>
      <c r="P5">
        <v>0</v>
      </c>
      <c r="Q5">
        <v>0</v>
      </c>
      <c r="R5">
        <v>0</v>
      </c>
      <c r="S5">
        <v>0</v>
      </c>
      <c r="T5">
        <v>2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f t="shared" ref="AJ5:AJ27" si="4">SUM(D5:AI5)</f>
        <v>32</v>
      </c>
    </row>
    <row r="6" spans="2:36" x14ac:dyDescent="0.25">
      <c r="B6" t="str">
        <f t="shared" si="2"/>
        <v>00010</v>
      </c>
      <c r="C6">
        <f t="shared" si="3"/>
        <v>2</v>
      </c>
      <c r="D6">
        <v>0</v>
      </c>
      <c r="E6">
        <v>0</v>
      </c>
      <c r="F6">
        <v>0</v>
      </c>
      <c r="G6">
        <v>1</v>
      </c>
      <c r="H6">
        <v>0</v>
      </c>
      <c r="I6">
        <v>5</v>
      </c>
      <c r="J6">
        <v>0</v>
      </c>
      <c r="K6">
        <v>0</v>
      </c>
      <c r="L6">
        <v>0</v>
      </c>
      <c r="M6">
        <v>0</v>
      </c>
      <c r="N6">
        <v>3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f t="shared" si="4"/>
        <v>9</v>
      </c>
    </row>
    <row r="7" spans="2:36" x14ac:dyDescent="0.25">
      <c r="B7" t="str">
        <f t="shared" si="2"/>
        <v>00011</v>
      </c>
      <c r="C7">
        <f t="shared" si="3"/>
        <v>3</v>
      </c>
      <c r="D7">
        <v>0</v>
      </c>
      <c r="E7">
        <v>0</v>
      </c>
      <c r="F7">
        <v>0</v>
      </c>
      <c r="G7">
        <v>1</v>
      </c>
      <c r="H7">
        <v>0</v>
      </c>
      <c r="I7">
        <v>1</v>
      </c>
      <c r="J7">
        <v>1</v>
      </c>
      <c r="K7">
        <v>5</v>
      </c>
      <c r="L7">
        <v>0</v>
      </c>
      <c r="M7">
        <v>0</v>
      </c>
      <c r="N7">
        <v>0</v>
      </c>
      <c r="O7">
        <v>7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3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f t="shared" si="4"/>
        <v>19</v>
      </c>
    </row>
    <row r="8" spans="2:36" x14ac:dyDescent="0.25">
      <c r="B8" t="str">
        <f t="shared" si="2"/>
        <v>00100</v>
      </c>
      <c r="C8">
        <f t="shared" si="3"/>
        <v>4</v>
      </c>
      <c r="D8">
        <v>0</v>
      </c>
      <c r="E8">
        <v>1</v>
      </c>
      <c r="F8">
        <v>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f t="shared" si="4"/>
        <v>3</v>
      </c>
    </row>
    <row r="9" spans="2:36" x14ac:dyDescent="0.25">
      <c r="B9" t="str">
        <f t="shared" si="2"/>
        <v>00101</v>
      </c>
      <c r="C9">
        <f t="shared" si="3"/>
        <v>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f t="shared" si="4"/>
        <v>0</v>
      </c>
    </row>
    <row r="10" spans="2:36" x14ac:dyDescent="0.25">
      <c r="B10" t="str">
        <f t="shared" si="2"/>
        <v>00110</v>
      </c>
      <c r="C10">
        <f t="shared" si="3"/>
        <v>6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0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2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f t="shared" si="4"/>
        <v>4</v>
      </c>
    </row>
    <row r="11" spans="2:36" x14ac:dyDescent="0.25">
      <c r="B11" t="str">
        <f t="shared" si="2"/>
        <v>00111</v>
      </c>
      <c r="C11">
        <f t="shared" si="3"/>
        <v>7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f t="shared" si="4"/>
        <v>1</v>
      </c>
    </row>
    <row r="12" spans="2:36" x14ac:dyDescent="0.25">
      <c r="B12" t="str">
        <f t="shared" si="2"/>
        <v>01000</v>
      </c>
      <c r="C12">
        <f t="shared" si="3"/>
        <v>8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7</v>
      </c>
      <c r="M12">
        <v>36</v>
      </c>
      <c r="N12">
        <v>5</v>
      </c>
      <c r="O12">
        <v>0</v>
      </c>
      <c r="P12">
        <v>0</v>
      </c>
      <c r="Q12">
        <v>0</v>
      </c>
      <c r="R12">
        <v>0</v>
      </c>
      <c r="S12">
        <v>0</v>
      </c>
      <c r="T12">
        <v>86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f t="shared" si="4"/>
        <v>134</v>
      </c>
    </row>
    <row r="13" spans="2:36" x14ac:dyDescent="0.25">
      <c r="B13" t="str">
        <f t="shared" si="2"/>
        <v>01001</v>
      </c>
      <c r="C13">
        <f t="shared" si="3"/>
        <v>9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1</v>
      </c>
      <c r="O13">
        <v>15</v>
      </c>
      <c r="P13">
        <v>0</v>
      </c>
      <c r="Q13">
        <v>1</v>
      </c>
      <c r="R13">
        <v>2</v>
      </c>
      <c r="S13">
        <v>0</v>
      </c>
      <c r="T13">
        <v>0</v>
      </c>
      <c r="U13">
        <v>30</v>
      </c>
      <c r="V13">
        <v>4</v>
      </c>
      <c r="W13">
        <v>0</v>
      </c>
      <c r="X13">
        <v>0</v>
      </c>
      <c r="Y13">
        <v>0</v>
      </c>
      <c r="Z13">
        <v>0</v>
      </c>
      <c r="AA13">
        <v>0</v>
      </c>
      <c r="AB13">
        <v>8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f t="shared" si="4"/>
        <v>62</v>
      </c>
    </row>
    <row r="14" spans="2:36" x14ac:dyDescent="0.25">
      <c r="B14" t="str">
        <f t="shared" si="2"/>
        <v>01010</v>
      </c>
      <c r="C14">
        <f t="shared" si="3"/>
        <v>10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4</v>
      </c>
      <c r="P14">
        <v>0</v>
      </c>
      <c r="Q14">
        <v>2</v>
      </c>
      <c r="R14">
        <v>0</v>
      </c>
      <c r="S14">
        <v>0</v>
      </c>
      <c r="T14">
        <v>0</v>
      </c>
      <c r="U14">
        <v>0</v>
      </c>
      <c r="V14">
        <v>4</v>
      </c>
      <c r="W14">
        <v>0</v>
      </c>
      <c r="X14">
        <v>2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f t="shared" si="4"/>
        <v>12</v>
      </c>
    </row>
    <row r="15" spans="2:36" x14ac:dyDescent="0.25">
      <c r="B15" t="str">
        <f t="shared" si="2"/>
        <v>01011</v>
      </c>
      <c r="C15">
        <f t="shared" si="3"/>
        <v>11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2</v>
      </c>
      <c r="M15">
        <v>0</v>
      </c>
      <c r="N15">
        <v>0</v>
      </c>
      <c r="O15">
        <v>0</v>
      </c>
      <c r="P15">
        <v>0</v>
      </c>
      <c r="Q15">
        <v>1</v>
      </c>
      <c r="R15">
        <v>1</v>
      </c>
      <c r="S15">
        <v>2</v>
      </c>
      <c r="T15">
        <v>0</v>
      </c>
      <c r="U15">
        <v>2</v>
      </c>
      <c r="V15">
        <v>0</v>
      </c>
      <c r="W15">
        <v>7</v>
      </c>
      <c r="X15">
        <v>0</v>
      </c>
      <c r="Y15">
        <v>2</v>
      </c>
      <c r="Z15">
        <v>1</v>
      </c>
      <c r="AA15">
        <v>0</v>
      </c>
      <c r="AB15">
        <v>0</v>
      </c>
      <c r="AC15">
        <v>0</v>
      </c>
      <c r="AD15">
        <v>2</v>
      </c>
      <c r="AE15">
        <v>0</v>
      </c>
      <c r="AF15">
        <v>0</v>
      </c>
      <c r="AG15">
        <v>0</v>
      </c>
      <c r="AH15">
        <v>0</v>
      </c>
      <c r="AI15">
        <v>0</v>
      </c>
      <c r="AJ15">
        <f t="shared" si="4"/>
        <v>20</v>
      </c>
    </row>
    <row r="16" spans="2:36" x14ac:dyDescent="0.25">
      <c r="B16" t="str">
        <f t="shared" si="2"/>
        <v>01100</v>
      </c>
      <c r="C16">
        <f t="shared" si="3"/>
        <v>12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0</v>
      </c>
      <c r="O16">
        <v>0</v>
      </c>
      <c r="P16">
        <v>0</v>
      </c>
      <c r="Q16">
        <v>2</v>
      </c>
      <c r="R16">
        <v>0</v>
      </c>
      <c r="S16">
        <v>0</v>
      </c>
      <c r="T16">
        <v>3</v>
      </c>
      <c r="U16">
        <v>1</v>
      </c>
      <c r="V16">
        <v>0</v>
      </c>
      <c r="W16">
        <v>0</v>
      </c>
      <c r="X16">
        <v>3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f t="shared" si="4"/>
        <v>10</v>
      </c>
    </row>
    <row r="17" spans="2:38" x14ac:dyDescent="0.25">
      <c r="B17" t="str">
        <f t="shared" si="2"/>
        <v>01101</v>
      </c>
      <c r="C17">
        <f t="shared" si="3"/>
        <v>13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1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3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f t="shared" si="4"/>
        <v>5</v>
      </c>
    </row>
    <row r="18" spans="2:38" x14ac:dyDescent="0.25">
      <c r="B18" t="str">
        <f t="shared" si="2"/>
        <v>01110</v>
      </c>
      <c r="C18">
        <f t="shared" si="3"/>
        <v>14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0</v>
      </c>
      <c r="P18">
        <v>0</v>
      </c>
      <c r="Q18">
        <v>1</v>
      </c>
      <c r="R18">
        <v>0</v>
      </c>
      <c r="S18">
        <v>2</v>
      </c>
      <c r="T18">
        <v>0</v>
      </c>
      <c r="U18">
        <v>0</v>
      </c>
      <c r="V18">
        <v>1</v>
      </c>
      <c r="W18">
        <v>0</v>
      </c>
      <c r="X18">
        <v>1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f t="shared" si="4"/>
        <v>6</v>
      </c>
    </row>
    <row r="19" spans="2:38" x14ac:dyDescent="0.25">
      <c r="B19" t="str">
        <f t="shared" si="2"/>
        <v>01111</v>
      </c>
      <c r="C19">
        <f t="shared" si="3"/>
        <v>15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2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2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f t="shared" si="4"/>
        <v>7</v>
      </c>
    </row>
    <row r="20" spans="2:38" x14ac:dyDescent="0.25">
      <c r="B20" t="str">
        <f t="shared" si="2"/>
        <v>10000</v>
      </c>
      <c r="C20">
        <f t="shared" si="3"/>
        <v>16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9</v>
      </c>
      <c r="U20">
        <v>28</v>
      </c>
      <c r="V20">
        <v>3</v>
      </c>
      <c r="W20">
        <v>0</v>
      </c>
      <c r="X20">
        <v>0</v>
      </c>
      <c r="Y20">
        <v>0</v>
      </c>
      <c r="Z20">
        <v>0</v>
      </c>
      <c r="AA20">
        <v>0</v>
      </c>
      <c r="AB20">
        <v>64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f t="shared" si="4"/>
        <v>104</v>
      </c>
    </row>
    <row r="21" spans="2:38" x14ac:dyDescent="0.25">
      <c r="B21" t="str">
        <f t="shared" si="2"/>
        <v>10001</v>
      </c>
      <c r="C21">
        <f t="shared" si="3"/>
        <v>17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4</v>
      </c>
      <c r="U21">
        <v>0</v>
      </c>
      <c r="V21">
        <v>0</v>
      </c>
      <c r="W21">
        <v>7</v>
      </c>
      <c r="X21">
        <v>0</v>
      </c>
      <c r="Y21">
        <v>1</v>
      </c>
      <c r="Z21">
        <v>1</v>
      </c>
      <c r="AA21">
        <v>0</v>
      </c>
      <c r="AB21">
        <v>0</v>
      </c>
      <c r="AC21">
        <v>20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f t="shared" si="4"/>
        <v>33</v>
      </c>
    </row>
    <row r="22" spans="2:38" x14ac:dyDescent="0.25">
      <c r="B22" t="str">
        <f t="shared" si="2"/>
        <v>10010</v>
      </c>
      <c r="C22">
        <f t="shared" si="3"/>
        <v>18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3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7</v>
      </c>
      <c r="AE22">
        <v>0</v>
      </c>
      <c r="AF22">
        <v>0</v>
      </c>
      <c r="AG22">
        <v>0</v>
      </c>
      <c r="AH22">
        <v>0</v>
      </c>
      <c r="AI22">
        <v>0</v>
      </c>
      <c r="AJ22">
        <f t="shared" si="4"/>
        <v>11</v>
      </c>
    </row>
    <row r="23" spans="2:38" x14ac:dyDescent="0.25">
      <c r="B23" t="str">
        <f t="shared" si="2"/>
        <v>10011</v>
      </c>
      <c r="C23">
        <f t="shared" si="3"/>
        <v>19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2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2</v>
      </c>
      <c r="AB23">
        <v>0</v>
      </c>
      <c r="AC23">
        <v>2</v>
      </c>
      <c r="AD23">
        <v>0</v>
      </c>
      <c r="AE23">
        <v>9</v>
      </c>
      <c r="AF23">
        <v>0</v>
      </c>
      <c r="AG23">
        <v>0</v>
      </c>
      <c r="AH23">
        <v>0</v>
      </c>
      <c r="AI23">
        <v>0</v>
      </c>
      <c r="AJ23">
        <f t="shared" si="4"/>
        <v>15</v>
      </c>
    </row>
    <row r="24" spans="2:38" x14ac:dyDescent="0.25">
      <c r="B24" t="str">
        <f t="shared" si="2"/>
        <v>10100</v>
      </c>
      <c r="C24">
        <f t="shared" si="3"/>
        <v>20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3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3</v>
      </c>
      <c r="AG24">
        <v>0</v>
      </c>
      <c r="AH24">
        <v>0</v>
      </c>
      <c r="AI24">
        <v>0</v>
      </c>
      <c r="AJ24">
        <f t="shared" si="4"/>
        <v>7</v>
      </c>
    </row>
    <row r="25" spans="2:38" x14ac:dyDescent="0.25">
      <c r="B25" t="str">
        <f t="shared" si="2"/>
        <v>10101</v>
      </c>
      <c r="C25">
        <f t="shared" si="3"/>
        <v>21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2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6</v>
      </c>
      <c r="AH25">
        <v>0</v>
      </c>
      <c r="AI25">
        <v>0</v>
      </c>
      <c r="AJ25">
        <f t="shared" si="4"/>
        <v>9</v>
      </c>
    </row>
    <row r="26" spans="2:38" x14ac:dyDescent="0.25">
      <c r="B26" t="str">
        <f t="shared" si="2"/>
        <v>10110</v>
      </c>
      <c r="C26">
        <f t="shared" si="3"/>
        <v>22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2</v>
      </c>
      <c r="AI26">
        <v>0</v>
      </c>
      <c r="AJ26">
        <f t="shared" si="4"/>
        <v>3</v>
      </c>
    </row>
    <row r="27" spans="2:38" x14ac:dyDescent="0.25">
      <c r="B27" t="str">
        <f t="shared" si="2"/>
        <v>10111</v>
      </c>
      <c r="C27">
        <f t="shared" si="3"/>
        <v>23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1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3</v>
      </c>
      <c r="AJ27">
        <f t="shared" si="4"/>
        <v>5</v>
      </c>
    </row>
    <row r="28" spans="2:38" ht="31.5" x14ac:dyDescent="0.25">
      <c r="D28" s="12" t="str">
        <f>D2</f>
        <v>00000</v>
      </c>
      <c r="E28" s="12" t="str">
        <f t="shared" ref="E28:AI28" si="5">E2</f>
        <v>00001</v>
      </c>
      <c r="F28" s="12" t="str">
        <f t="shared" si="5"/>
        <v>00010</v>
      </c>
      <c r="G28" s="12" t="str">
        <f t="shared" si="5"/>
        <v>00011</v>
      </c>
      <c r="H28" s="12" t="str">
        <f t="shared" si="5"/>
        <v>00100</v>
      </c>
      <c r="I28" s="12" t="str">
        <f t="shared" si="5"/>
        <v>00101</v>
      </c>
      <c r="J28" s="12" t="str">
        <f t="shared" si="5"/>
        <v>00110</v>
      </c>
      <c r="K28" s="12" t="str">
        <f t="shared" si="5"/>
        <v>00111</v>
      </c>
      <c r="L28" s="12" t="str">
        <f t="shared" si="5"/>
        <v>01000</v>
      </c>
      <c r="M28" s="12" t="str">
        <f t="shared" si="5"/>
        <v>01001</v>
      </c>
      <c r="N28" s="12" t="str">
        <f t="shared" si="5"/>
        <v>01010</v>
      </c>
      <c r="O28" s="12" t="str">
        <f t="shared" si="5"/>
        <v>01011</v>
      </c>
      <c r="P28" s="12" t="str">
        <f t="shared" si="5"/>
        <v>01100</v>
      </c>
      <c r="Q28" s="12" t="str">
        <f t="shared" si="5"/>
        <v>01101</v>
      </c>
      <c r="R28" s="12" t="str">
        <f t="shared" si="5"/>
        <v>01110</v>
      </c>
      <c r="S28" s="12" t="str">
        <f t="shared" si="5"/>
        <v>01111</v>
      </c>
      <c r="T28" s="12" t="str">
        <f t="shared" si="5"/>
        <v>10000</v>
      </c>
      <c r="U28" s="12" t="str">
        <f t="shared" si="5"/>
        <v>10001</v>
      </c>
      <c r="V28" s="12" t="str">
        <f t="shared" si="5"/>
        <v>10010</v>
      </c>
      <c r="W28" s="12" t="str">
        <f t="shared" si="5"/>
        <v>10011</v>
      </c>
      <c r="X28" s="12" t="str">
        <f t="shared" si="5"/>
        <v>10100</v>
      </c>
      <c r="Y28" s="12" t="str">
        <f t="shared" si="5"/>
        <v>10101</v>
      </c>
      <c r="Z28" s="12" t="str">
        <f t="shared" si="5"/>
        <v>10110</v>
      </c>
      <c r="AA28" s="12" t="str">
        <f t="shared" si="5"/>
        <v>10111</v>
      </c>
      <c r="AB28" s="12" t="str">
        <f t="shared" si="5"/>
        <v>11000</v>
      </c>
      <c r="AC28" s="12" t="str">
        <f t="shared" si="5"/>
        <v>11001</v>
      </c>
      <c r="AD28" s="12" t="str">
        <f t="shared" si="5"/>
        <v>11010</v>
      </c>
      <c r="AE28" s="12" t="str">
        <f t="shared" si="5"/>
        <v>11011</v>
      </c>
      <c r="AF28" s="12" t="str">
        <f t="shared" si="5"/>
        <v>11100</v>
      </c>
      <c r="AG28" s="12" t="str">
        <f t="shared" si="5"/>
        <v>11101</v>
      </c>
      <c r="AH28" s="12" t="str">
        <f t="shared" si="5"/>
        <v>11110</v>
      </c>
      <c r="AI28" s="12" t="str">
        <f t="shared" si="5"/>
        <v>11111</v>
      </c>
      <c r="AJ28" s="15">
        <f>SUM(AJ29:AJ52)</f>
        <v>34.975368699999969</v>
      </c>
      <c r="AK28" s="16">
        <f>AJ28/AJ3</f>
        <v>5.5253347077409115E-2</v>
      </c>
      <c r="AL28" s="13">
        <f>AK28-'2021_all'!AK28</f>
        <v>6.0610655873017935E-2</v>
      </c>
    </row>
    <row r="29" spans="2:38" x14ac:dyDescent="0.25">
      <c r="B29" t="str">
        <f>B4</f>
        <v>00000</v>
      </c>
      <c r="D29" s="14">
        <f>D4*'2021'!D4</f>
        <v>7</v>
      </c>
      <c r="E29" s="14">
        <f>E4*'2021'!E4</f>
        <v>12.046728000000002</v>
      </c>
      <c r="F29" s="14">
        <f>F4*'2021'!F4</f>
        <v>3.1480665000000001</v>
      </c>
      <c r="G29" s="14">
        <f>G4*'2021'!G4</f>
        <v>0</v>
      </c>
      <c r="H29" s="14">
        <f>H4*'2021'!H4</f>
        <v>0</v>
      </c>
      <c r="I29" s="14">
        <f>I4*'2021'!I4</f>
        <v>0</v>
      </c>
      <c r="J29" s="14">
        <f>J4*'2021'!J4</f>
        <v>0</v>
      </c>
      <c r="K29" s="14">
        <f>K4*'2021'!K4</f>
        <v>0</v>
      </c>
      <c r="L29" s="14">
        <f>L4*'2021'!L4</f>
        <v>-20.014040000000008</v>
      </c>
      <c r="M29" s="14">
        <f>M4*'2021'!M4</f>
        <v>0</v>
      </c>
      <c r="N29" s="14">
        <f>N4*'2021'!N4</f>
        <v>0</v>
      </c>
      <c r="O29" s="14">
        <f>O4*'2021'!O4</f>
        <v>0</v>
      </c>
      <c r="P29" s="14">
        <f>P4*'2021'!P4</f>
        <v>0</v>
      </c>
      <c r="Q29" s="14">
        <f>Q4*'2021'!Q4</f>
        <v>0</v>
      </c>
      <c r="R29" s="14">
        <f>R4*'2021'!R4</f>
        <v>0</v>
      </c>
      <c r="S29" s="14">
        <f>S4*'2021'!S4</f>
        <v>0</v>
      </c>
      <c r="T29" s="14">
        <f>T4*'2021'!T4</f>
        <v>0</v>
      </c>
      <c r="U29" s="14">
        <f>U4*'2021'!U4</f>
        <v>0</v>
      </c>
      <c r="V29" s="14">
        <f>V4*'2021'!V4</f>
        <v>0</v>
      </c>
      <c r="W29" s="14">
        <f>W4*'2021'!W4</f>
        <v>0</v>
      </c>
      <c r="X29" s="14">
        <f>X4*'2021'!X4</f>
        <v>0</v>
      </c>
      <c r="Y29" s="14">
        <f>Y4*'2021'!Y4</f>
        <v>0</v>
      </c>
      <c r="Z29" s="14">
        <f>Z4*'2021'!Z4</f>
        <v>0</v>
      </c>
      <c r="AA29" s="14">
        <f>AA4*'2021'!AA4</f>
        <v>0</v>
      </c>
      <c r="AB29" s="14">
        <f>AB4*'2021'!AB4</f>
        <v>0</v>
      </c>
      <c r="AC29" s="14">
        <f>AC4*'2021'!AC4</f>
        <v>0</v>
      </c>
      <c r="AD29" s="14">
        <f>AD4*'2021'!AD4</f>
        <v>0</v>
      </c>
      <c r="AE29" s="14">
        <f>AE4*'2021'!AE4</f>
        <v>0</v>
      </c>
      <c r="AF29" s="14">
        <f>AF4*'2021'!AF4</f>
        <v>0</v>
      </c>
      <c r="AG29" s="14">
        <f>AG4*'2021'!AG4</f>
        <v>0</v>
      </c>
      <c r="AH29" s="14">
        <f>AH4*'2021'!AH4</f>
        <v>0</v>
      </c>
      <c r="AI29" s="14">
        <f>AI4*'2021'!AI4</f>
        <v>0</v>
      </c>
      <c r="AJ29" s="15">
        <f>SUM(D29:AI29)</f>
        <v>2.1807544999999919</v>
      </c>
      <c r="AK29" s="13">
        <f>AJ29/AJ4</f>
        <v>1.7875036885245835E-2</v>
      </c>
      <c r="AL29" s="13">
        <f>AK29-'2021_all'!AK29</f>
        <v>2.5509757235592383E-2</v>
      </c>
    </row>
    <row r="30" spans="2:38" x14ac:dyDescent="0.25">
      <c r="B30" t="str">
        <f t="shared" ref="B30:B52" si="6">B5</f>
        <v>00001</v>
      </c>
      <c r="D30" s="14">
        <f>D5*'2021'!D5</f>
        <v>6.3937695999999988</v>
      </c>
      <c r="E30" s="14">
        <f>E5*'2021'!E5</f>
        <v>0</v>
      </c>
      <c r="F30" s="14">
        <f>F5*'2021'!F5</f>
        <v>0</v>
      </c>
      <c r="G30" s="14">
        <f>G5*'2021'!G5</f>
        <v>5.2056967999999983</v>
      </c>
      <c r="H30" s="14">
        <f>H5*'2021'!H5</f>
        <v>0</v>
      </c>
      <c r="I30" s="14">
        <f>I5*'2021'!I5</f>
        <v>0</v>
      </c>
      <c r="J30" s="14">
        <f>J5*'2021'!J5</f>
        <v>2.2564245999999999</v>
      </c>
      <c r="K30" s="14">
        <f>K5*'2021'!K5</f>
        <v>0</v>
      </c>
      <c r="L30" s="14">
        <f>L5*'2021'!L5</f>
        <v>0</v>
      </c>
      <c r="M30" s="14">
        <f>M5*'2021'!M5</f>
        <v>-5.020100799999998</v>
      </c>
      <c r="N30" s="14">
        <f>N5*'2021'!N5</f>
        <v>-0.7046724000000002</v>
      </c>
      <c r="O30" s="14">
        <f>O5*'2021'!O5</f>
        <v>0</v>
      </c>
      <c r="P30" s="14">
        <f>P5*'2021'!P5</f>
        <v>0</v>
      </c>
      <c r="Q30" s="14">
        <f>Q5*'2021'!Q5</f>
        <v>0</v>
      </c>
      <c r="R30" s="14">
        <f>R5*'2021'!R5</f>
        <v>0</v>
      </c>
      <c r="S30" s="14">
        <f>S5*'2021'!S5</f>
        <v>0</v>
      </c>
      <c r="T30" s="14">
        <f>T5*'2021'!T5</f>
        <v>-1.6331096000000001</v>
      </c>
      <c r="U30" s="14">
        <f>U5*'2021'!U5</f>
        <v>0</v>
      </c>
      <c r="V30" s="14">
        <f>V5*'2021'!V5</f>
        <v>0</v>
      </c>
      <c r="W30" s="14">
        <f>W5*'2021'!W5</f>
        <v>0</v>
      </c>
      <c r="X30" s="14">
        <f>X5*'2021'!X5</f>
        <v>0</v>
      </c>
      <c r="Y30" s="14">
        <f>Y5*'2021'!Y5</f>
        <v>0</v>
      </c>
      <c r="Z30" s="14">
        <f>Z5*'2021'!Z5</f>
        <v>0</v>
      </c>
      <c r="AA30" s="14">
        <f>AA5*'2021'!AA5</f>
        <v>0</v>
      </c>
      <c r="AB30" s="14">
        <f>AB5*'2021'!AB5</f>
        <v>0</v>
      </c>
      <c r="AC30" s="14">
        <f>AC5*'2021'!AC5</f>
        <v>0</v>
      </c>
      <c r="AD30" s="14">
        <f>AD5*'2021'!AD5</f>
        <v>0</v>
      </c>
      <c r="AE30" s="14">
        <f>AE5*'2021'!AE5</f>
        <v>0</v>
      </c>
      <c r="AF30" s="14">
        <f>AF5*'2021'!AF5</f>
        <v>0</v>
      </c>
      <c r="AG30" s="14">
        <f>AG5*'2021'!AG5</f>
        <v>0</v>
      </c>
      <c r="AH30" s="14">
        <f>AH5*'2021'!AH5</f>
        <v>0</v>
      </c>
      <c r="AI30" s="14">
        <f>AI5*'2021'!AI5</f>
        <v>0</v>
      </c>
      <c r="AJ30" s="15">
        <f t="shared" ref="AJ30:AJ52" si="7">SUM(D30:AI30)</f>
        <v>6.4980081999999983</v>
      </c>
      <c r="AK30" s="13">
        <f t="shared" ref="AK30:AK52" si="8">AJ30/AJ5</f>
        <v>0.20306275624999995</v>
      </c>
      <c r="AL30" s="13">
        <f>AK30-'2021_all'!AK30</f>
        <v>0.20804814657844867</v>
      </c>
    </row>
    <row r="31" spans="2:38" x14ac:dyDescent="0.25">
      <c r="B31" t="str">
        <f t="shared" si="6"/>
        <v>00010</v>
      </c>
      <c r="D31" s="14">
        <f>D6*'2021'!D6</f>
        <v>0</v>
      </c>
      <c r="E31" s="14">
        <f>E6*'2021'!E6</f>
        <v>0</v>
      </c>
      <c r="F31" s="14">
        <f>F6*'2021'!F6</f>
        <v>0</v>
      </c>
      <c r="G31" s="14">
        <f>G6*'2021'!G6</f>
        <v>0.42265639999999993</v>
      </c>
      <c r="H31" s="14">
        <f>H6*'2021'!H6</f>
        <v>0</v>
      </c>
      <c r="I31" s="14">
        <f>I6*'2021'!I6</f>
        <v>3.2923779999999994</v>
      </c>
      <c r="J31" s="14">
        <f>J6*'2021'!J6</f>
        <v>0</v>
      </c>
      <c r="K31" s="14">
        <f>K6*'2021'!K6</f>
        <v>0</v>
      </c>
      <c r="L31" s="14">
        <f>L6*'2021'!L6</f>
        <v>0</v>
      </c>
      <c r="M31" s="14">
        <f>M6*'2021'!M6</f>
        <v>0</v>
      </c>
      <c r="N31" s="14">
        <f>N6*'2021'!N6</f>
        <v>-1.3888394999999998</v>
      </c>
      <c r="O31" s="14">
        <f>O6*'2021'!O6</f>
        <v>0</v>
      </c>
      <c r="P31" s="14">
        <f>P6*'2021'!P6</f>
        <v>0</v>
      </c>
      <c r="Q31" s="14">
        <f>Q6*'2021'!Q6</f>
        <v>0</v>
      </c>
      <c r="R31" s="14">
        <f>R6*'2021'!R6</f>
        <v>0</v>
      </c>
      <c r="S31" s="14">
        <f>S6*'2021'!S6</f>
        <v>0</v>
      </c>
      <c r="T31" s="14">
        <f>T6*'2021'!T6</f>
        <v>0</v>
      </c>
      <c r="U31" s="14">
        <f>U6*'2021'!U6</f>
        <v>0</v>
      </c>
      <c r="V31" s="14">
        <f>V6*'2021'!V6</f>
        <v>0</v>
      </c>
      <c r="W31" s="14">
        <f>W6*'2021'!W6</f>
        <v>0</v>
      </c>
      <c r="X31" s="14">
        <f>X6*'2021'!X6</f>
        <v>0</v>
      </c>
      <c r="Y31" s="14">
        <f>Y6*'2021'!Y6</f>
        <v>0</v>
      </c>
      <c r="Z31" s="14">
        <f>Z6*'2021'!Z6</f>
        <v>0</v>
      </c>
      <c r="AA31" s="14">
        <f>AA6*'2021'!AA6</f>
        <v>0</v>
      </c>
      <c r="AB31" s="14">
        <f>AB6*'2021'!AB6</f>
        <v>0</v>
      </c>
      <c r="AC31" s="14">
        <f>AC6*'2021'!AC6</f>
        <v>0</v>
      </c>
      <c r="AD31" s="14">
        <f>AD6*'2021'!AD6</f>
        <v>0</v>
      </c>
      <c r="AE31" s="14">
        <f>AE6*'2021'!AE6</f>
        <v>0</v>
      </c>
      <c r="AF31" s="14">
        <f>AF6*'2021'!AF6</f>
        <v>0</v>
      </c>
      <c r="AG31" s="14">
        <f>AG6*'2021'!AG6</f>
        <v>0</v>
      </c>
      <c r="AH31" s="14">
        <f>AH6*'2021'!AH6</f>
        <v>0</v>
      </c>
      <c r="AI31" s="14">
        <f>AI6*'2021'!AI6</f>
        <v>0</v>
      </c>
      <c r="AJ31" s="15">
        <f t="shared" si="7"/>
        <v>2.3261949</v>
      </c>
      <c r="AK31" s="13">
        <f t="shared" si="8"/>
        <v>0.25846609999999998</v>
      </c>
      <c r="AL31" s="13">
        <f>AK31-'2021_all'!AK31</f>
        <v>0.26304542577203816</v>
      </c>
    </row>
    <row r="32" spans="2:38" x14ac:dyDescent="0.25">
      <c r="B32" t="str">
        <f t="shared" si="6"/>
        <v>00011</v>
      </c>
      <c r="D32" s="14">
        <f>D7*'2021'!D7</f>
        <v>0</v>
      </c>
      <c r="E32" s="14">
        <f>E7*'2021'!E7</f>
        <v>0</v>
      </c>
      <c r="F32" s="14">
        <f>F7*'2021'!F7</f>
        <v>0</v>
      </c>
      <c r="G32" s="14">
        <f>G7*'2021'!G7</f>
        <v>1</v>
      </c>
      <c r="H32" s="14">
        <f>H7*'2021'!H7</f>
        <v>0</v>
      </c>
      <c r="I32" s="14">
        <f>I7*'2021'!I7</f>
        <v>1.2358191999999999</v>
      </c>
      <c r="J32" s="14">
        <f>J7*'2021'!J7</f>
        <v>1.4775001999999997</v>
      </c>
      <c r="K32" s="14">
        <f>K7*'2021'!K7</f>
        <v>4.4750960000000006</v>
      </c>
      <c r="L32" s="14">
        <f>L7*'2021'!L7</f>
        <v>0</v>
      </c>
      <c r="M32" s="14">
        <f>M7*'2021'!M7</f>
        <v>0</v>
      </c>
      <c r="N32" s="14">
        <f>N7*'2021'!N7</f>
        <v>0</v>
      </c>
      <c r="O32" s="14">
        <f>O7*'2021'!O7</f>
        <v>-4.3461467000000003</v>
      </c>
      <c r="P32" s="14">
        <f>P7*'2021'!P7</f>
        <v>0</v>
      </c>
      <c r="Q32" s="14">
        <f>Q7*'2021'!Q7</f>
        <v>-0.38706819999999986</v>
      </c>
      <c r="R32" s="14">
        <f>R7*'2021'!R7</f>
        <v>0</v>
      </c>
      <c r="S32" s="14">
        <f>S7*'2021'!S7</f>
        <v>0</v>
      </c>
      <c r="T32" s="14">
        <f>T7*'2021'!T7</f>
        <v>0</v>
      </c>
      <c r="U32" s="14">
        <f>U7*'2021'!U7</f>
        <v>0</v>
      </c>
      <c r="V32" s="14">
        <f>V7*'2021'!V7</f>
        <v>0</v>
      </c>
      <c r="W32" s="14">
        <f>W7*'2021'!W7</f>
        <v>0</v>
      </c>
      <c r="X32" s="14">
        <f>X7*'2021'!X7</f>
        <v>-3.5735891999999998</v>
      </c>
      <c r="Y32" s="14">
        <f>Y7*'2021'!Y7</f>
        <v>0</v>
      </c>
      <c r="Z32" s="14">
        <f>Z7*'2021'!Z7</f>
        <v>0</v>
      </c>
      <c r="AA32" s="14">
        <f>AA7*'2021'!AA7</f>
        <v>0</v>
      </c>
      <c r="AB32" s="14">
        <f>AB7*'2021'!AB7</f>
        <v>0</v>
      </c>
      <c r="AC32" s="14">
        <f>AC7*'2021'!AC7</f>
        <v>0</v>
      </c>
      <c r="AD32" s="14">
        <f>AD7*'2021'!AD7</f>
        <v>0</v>
      </c>
      <c r="AE32" s="14">
        <f>AE7*'2021'!AE7</f>
        <v>0</v>
      </c>
      <c r="AF32" s="14">
        <f>AF7*'2021'!AF7</f>
        <v>0</v>
      </c>
      <c r="AG32" s="14">
        <f>AG7*'2021'!AG7</f>
        <v>0</v>
      </c>
      <c r="AH32" s="14">
        <f>AH7*'2021'!AH7</f>
        <v>0</v>
      </c>
      <c r="AI32" s="14">
        <f>AI7*'2021'!AI7</f>
        <v>0</v>
      </c>
      <c r="AJ32" s="15">
        <f t="shared" si="7"/>
        <v>-0.11838869999999968</v>
      </c>
      <c r="AK32" s="13">
        <f t="shared" si="8"/>
        <v>-6.2309842105262988E-3</v>
      </c>
      <c r="AL32" s="13">
        <f>AK32-'2021_all'!AK32</f>
        <v>5.8500326468344842E-3</v>
      </c>
    </row>
    <row r="33" spans="2:38" x14ac:dyDescent="0.25">
      <c r="B33" t="str">
        <f t="shared" si="6"/>
        <v>00100</v>
      </c>
      <c r="D33" s="14">
        <f>D8*'2021'!D8</f>
        <v>0</v>
      </c>
      <c r="E33" s="14">
        <f>E8*'2021'!E8</f>
        <v>0.52204630000000019</v>
      </c>
      <c r="F33" s="14">
        <f>F8*'2021'!F8</f>
        <v>0.75010199999999982</v>
      </c>
      <c r="G33" s="14">
        <f>G8*'2021'!G8</f>
        <v>0</v>
      </c>
      <c r="H33" s="14">
        <f>H8*'2021'!H8</f>
        <v>0</v>
      </c>
      <c r="I33" s="14">
        <f>I8*'2021'!I8</f>
        <v>0</v>
      </c>
      <c r="J33" s="14">
        <f>J8*'2021'!J8</f>
        <v>0</v>
      </c>
      <c r="K33" s="14">
        <f>K8*'2021'!K8</f>
        <v>0</v>
      </c>
      <c r="L33" s="14">
        <f>L8*'2021'!L8</f>
        <v>0</v>
      </c>
      <c r="M33" s="14">
        <f>M8*'2021'!M8</f>
        <v>0</v>
      </c>
      <c r="N33" s="14">
        <f>N8*'2021'!N8</f>
        <v>0</v>
      </c>
      <c r="O33" s="14">
        <f>O8*'2021'!O8</f>
        <v>0</v>
      </c>
      <c r="P33" s="14">
        <f>P8*'2021'!P8</f>
        <v>-0.44089029999999996</v>
      </c>
      <c r="Q33" s="14">
        <f>Q8*'2021'!Q8</f>
        <v>0</v>
      </c>
      <c r="R33" s="14">
        <f>R8*'2021'!R8</f>
        <v>0</v>
      </c>
      <c r="S33" s="14">
        <f>S8*'2021'!S8</f>
        <v>0</v>
      </c>
      <c r="T33" s="14">
        <f>T8*'2021'!T8</f>
        <v>0</v>
      </c>
      <c r="U33" s="14">
        <f>U8*'2021'!U8</f>
        <v>0</v>
      </c>
      <c r="V33" s="14">
        <f>V8*'2021'!V8</f>
        <v>0</v>
      </c>
      <c r="W33" s="14">
        <f>W8*'2021'!W8</f>
        <v>0</v>
      </c>
      <c r="X33" s="14">
        <f>X8*'2021'!X8</f>
        <v>0</v>
      </c>
      <c r="Y33" s="14">
        <f>Y8*'2021'!Y8</f>
        <v>0</v>
      </c>
      <c r="Z33" s="14">
        <f>Z8*'2021'!Z8</f>
        <v>0</v>
      </c>
      <c r="AA33" s="14">
        <f>AA8*'2021'!AA8</f>
        <v>0</v>
      </c>
      <c r="AB33" s="14">
        <f>AB8*'2021'!AB8</f>
        <v>0</v>
      </c>
      <c r="AC33" s="14">
        <f>AC8*'2021'!AC8</f>
        <v>0</v>
      </c>
      <c r="AD33" s="14">
        <f>AD8*'2021'!AD8</f>
        <v>0</v>
      </c>
      <c r="AE33" s="14">
        <f>AE8*'2021'!AE8</f>
        <v>0</v>
      </c>
      <c r="AF33" s="14">
        <f>AF8*'2021'!AF8</f>
        <v>0</v>
      </c>
      <c r="AG33" s="14">
        <f>AG8*'2021'!AG8</f>
        <v>0</v>
      </c>
      <c r="AH33" s="14">
        <f>AH8*'2021'!AH8</f>
        <v>0</v>
      </c>
      <c r="AI33" s="14">
        <f>AI8*'2021'!AI8</f>
        <v>0</v>
      </c>
      <c r="AJ33" s="15">
        <f t="shared" si="7"/>
        <v>0.83125800000000005</v>
      </c>
      <c r="AK33" s="13">
        <f t="shared" si="8"/>
        <v>0.277086</v>
      </c>
      <c r="AL33" s="13">
        <f>AK33-'2021_all'!AK33</f>
        <v>0.27868536991150439</v>
      </c>
    </row>
    <row r="34" spans="2:38" x14ac:dyDescent="0.25">
      <c r="B34" t="str">
        <f t="shared" si="6"/>
        <v>00101</v>
      </c>
      <c r="D34" s="14">
        <f>D9*'2021'!D9</f>
        <v>0</v>
      </c>
      <c r="E34" s="14">
        <f>E9*'2021'!E9</f>
        <v>0</v>
      </c>
      <c r="F34" s="14">
        <f>F9*'2021'!F9</f>
        <v>0</v>
      </c>
      <c r="G34" s="14">
        <f>G9*'2021'!G9</f>
        <v>0</v>
      </c>
      <c r="H34" s="14">
        <f>H9*'2021'!H9</f>
        <v>0</v>
      </c>
      <c r="I34" s="14">
        <f>I9*'2021'!I9</f>
        <v>0</v>
      </c>
      <c r="J34" s="14">
        <f>J9*'2021'!J9</f>
        <v>0</v>
      </c>
      <c r="K34" s="14">
        <f>K9*'2021'!K9</f>
        <v>0</v>
      </c>
      <c r="L34" s="14">
        <f>L9*'2021'!L9</f>
        <v>0</v>
      </c>
      <c r="M34" s="14">
        <f>M9*'2021'!M9</f>
        <v>0</v>
      </c>
      <c r="N34" s="14">
        <f>N9*'2021'!N9</f>
        <v>0</v>
      </c>
      <c r="O34" s="14">
        <f>O9*'2021'!O9</f>
        <v>0</v>
      </c>
      <c r="P34" s="14">
        <f>P9*'2021'!P9</f>
        <v>0</v>
      </c>
      <c r="Q34" s="14">
        <f>Q9*'2021'!Q9</f>
        <v>0</v>
      </c>
      <c r="R34" s="14">
        <f>R9*'2021'!R9</f>
        <v>0</v>
      </c>
      <c r="S34" s="14">
        <f>S9*'2021'!S9</f>
        <v>0</v>
      </c>
      <c r="T34" s="14">
        <f>T9*'2021'!T9</f>
        <v>0</v>
      </c>
      <c r="U34" s="14">
        <f>U9*'2021'!U9</f>
        <v>0</v>
      </c>
      <c r="V34" s="14">
        <f>V9*'2021'!V9</f>
        <v>0</v>
      </c>
      <c r="W34" s="14">
        <f>W9*'2021'!W9</f>
        <v>0</v>
      </c>
      <c r="X34" s="14">
        <f>X9*'2021'!X9</f>
        <v>0</v>
      </c>
      <c r="Y34" s="14">
        <f>Y9*'2021'!Y9</f>
        <v>0</v>
      </c>
      <c r="Z34" s="14">
        <f>Z9*'2021'!Z9</f>
        <v>0</v>
      </c>
      <c r="AA34" s="14">
        <f>AA9*'2021'!AA9</f>
        <v>0</v>
      </c>
      <c r="AB34" s="14">
        <f>AB9*'2021'!AB9</f>
        <v>0</v>
      </c>
      <c r="AC34" s="14">
        <f>AC9*'2021'!AC9</f>
        <v>0</v>
      </c>
      <c r="AD34" s="14">
        <f>AD9*'2021'!AD9</f>
        <v>0</v>
      </c>
      <c r="AE34" s="14">
        <f>AE9*'2021'!AE9</f>
        <v>0</v>
      </c>
      <c r="AF34" s="14">
        <f>AF9*'2021'!AF9</f>
        <v>0</v>
      </c>
      <c r="AG34" s="14">
        <f>AG9*'2021'!AG9</f>
        <v>0</v>
      </c>
      <c r="AH34" s="14">
        <f>AH9*'2021'!AH9</f>
        <v>0</v>
      </c>
      <c r="AI34" s="14">
        <f>AI9*'2021'!AI9</f>
        <v>0</v>
      </c>
      <c r="AJ34" s="15">
        <f t="shared" si="7"/>
        <v>0</v>
      </c>
      <c r="AK34" s="13" t="e">
        <f t="shared" si="8"/>
        <v>#DIV/0!</v>
      </c>
      <c r="AL34" s="13" t="e">
        <f>AK34-'2021_all'!AK34</f>
        <v>#DIV/0!</v>
      </c>
    </row>
    <row r="35" spans="2:38" x14ac:dyDescent="0.25">
      <c r="B35" t="str">
        <f t="shared" si="6"/>
        <v>00110</v>
      </c>
      <c r="D35" s="14">
        <f>D10*'2021'!D10</f>
        <v>0</v>
      </c>
      <c r="E35" s="14">
        <f>E10*'2021'!E10</f>
        <v>0</v>
      </c>
      <c r="F35" s="14">
        <f>F10*'2021'!F10</f>
        <v>0</v>
      </c>
      <c r="G35" s="14">
        <f>G10*'2021'!G10</f>
        <v>0</v>
      </c>
      <c r="H35" s="14">
        <f>H10*'2021'!H10</f>
        <v>0</v>
      </c>
      <c r="I35" s="14">
        <f>I10*'2021'!I10</f>
        <v>0.75831899999999974</v>
      </c>
      <c r="J35" s="14">
        <f>J10*'2021'!J10</f>
        <v>0</v>
      </c>
      <c r="K35" s="14">
        <f>K10*'2021'!K10</f>
        <v>0.41751899999999997</v>
      </c>
      <c r="L35" s="14">
        <f>L10*'2021'!L10</f>
        <v>0</v>
      </c>
      <c r="M35" s="14">
        <f>M10*'2021'!M10</f>
        <v>0</v>
      </c>
      <c r="N35" s="14">
        <f>N10*'2021'!N10</f>
        <v>0</v>
      </c>
      <c r="O35" s="14">
        <f>O10*'2021'!O10</f>
        <v>0</v>
      </c>
      <c r="P35" s="14">
        <f>P10*'2021'!P10</f>
        <v>0</v>
      </c>
      <c r="Q35" s="14">
        <f>Q10*'2021'!Q10</f>
        <v>0</v>
      </c>
      <c r="R35" s="14">
        <f>R10*'2021'!R10</f>
        <v>-1.3422348000000008</v>
      </c>
      <c r="S35" s="14">
        <f>S10*'2021'!S10</f>
        <v>0</v>
      </c>
      <c r="T35" s="14">
        <f>T10*'2021'!T10</f>
        <v>0</v>
      </c>
      <c r="U35" s="14">
        <f>U10*'2021'!U10</f>
        <v>0</v>
      </c>
      <c r="V35" s="14">
        <f>V10*'2021'!V10</f>
        <v>0</v>
      </c>
      <c r="W35" s="14">
        <f>W10*'2021'!W10</f>
        <v>0</v>
      </c>
      <c r="X35" s="14">
        <f>X10*'2021'!X10</f>
        <v>0</v>
      </c>
      <c r="Y35" s="14">
        <f>Y10*'2021'!Y10</f>
        <v>0</v>
      </c>
      <c r="Z35" s="14">
        <f>Z10*'2021'!Z10</f>
        <v>0</v>
      </c>
      <c r="AA35" s="14">
        <f>AA10*'2021'!AA10</f>
        <v>0</v>
      </c>
      <c r="AB35" s="14">
        <f>AB10*'2021'!AB10</f>
        <v>0</v>
      </c>
      <c r="AC35" s="14">
        <f>AC10*'2021'!AC10</f>
        <v>0</v>
      </c>
      <c r="AD35" s="14">
        <f>AD10*'2021'!AD10</f>
        <v>0</v>
      </c>
      <c r="AE35" s="14">
        <f>AE10*'2021'!AE10</f>
        <v>0</v>
      </c>
      <c r="AF35" s="14">
        <f>AF10*'2021'!AF10</f>
        <v>0</v>
      </c>
      <c r="AG35" s="14">
        <f>AG10*'2021'!AG10</f>
        <v>0</v>
      </c>
      <c r="AH35" s="14">
        <f>AH10*'2021'!AH10</f>
        <v>0</v>
      </c>
      <c r="AI35" s="14">
        <f>AI10*'2021'!AI10</f>
        <v>0</v>
      </c>
      <c r="AJ35" s="15">
        <f t="shared" si="7"/>
        <v>-0.16639680000000112</v>
      </c>
      <c r="AK35" s="13">
        <f t="shared" si="8"/>
        <v>-4.159920000000028E-2</v>
      </c>
      <c r="AL35" s="13">
        <f>AK35-'2021_all'!AK35</f>
        <v>-3.8515973313343464E-2</v>
      </c>
    </row>
    <row r="36" spans="2:38" x14ac:dyDescent="0.25">
      <c r="B36" t="str">
        <f t="shared" si="6"/>
        <v>00111</v>
      </c>
      <c r="D36" s="14">
        <f>D11*'2021'!D11</f>
        <v>0</v>
      </c>
      <c r="E36" s="14">
        <f>E11*'2021'!E11</f>
        <v>0</v>
      </c>
      <c r="F36" s="14">
        <f>F11*'2021'!F11</f>
        <v>0</v>
      </c>
      <c r="G36" s="14">
        <f>G11*'2021'!G11</f>
        <v>0</v>
      </c>
      <c r="H36" s="14">
        <f>H11*'2021'!H11</f>
        <v>0</v>
      </c>
      <c r="I36" s="14">
        <f>I11*'2021'!I11</f>
        <v>0</v>
      </c>
      <c r="J36" s="14">
        <f>J11*'2021'!J11</f>
        <v>0</v>
      </c>
      <c r="K36" s="14">
        <f>K11*'2021'!K11</f>
        <v>0</v>
      </c>
      <c r="L36" s="14">
        <f>L11*'2021'!L11</f>
        <v>0</v>
      </c>
      <c r="M36" s="14">
        <f>M11*'2021'!M11</f>
        <v>0</v>
      </c>
      <c r="N36" s="14">
        <f>N11*'2021'!N11</f>
        <v>0</v>
      </c>
      <c r="O36" s="14">
        <f>O11*'2021'!O11</f>
        <v>-0.51589730000000023</v>
      </c>
      <c r="P36" s="14">
        <f>P11*'2021'!P11</f>
        <v>0</v>
      </c>
      <c r="Q36" s="14">
        <f>Q11*'2021'!Q11</f>
        <v>0</v>
      </c>
      <c r="R36" s="14">
        <f>R11*'2021'!R11</f>
        <v>0</v>
      </c>
      <c r="S36" s="14">
        <f>S11*'2021'!S11</f>
        <v>0</v>
      </c>
      <c r="T36" s="14">
        <f>T11*'2021'!T11</f>
        <v>0</v>
      </c>
      <c r="U36" s="14">
        <f>U11*'2021'!U11</f>
        <v>0</v>
      </c>
      <c r="V36" s="14">
        <f>V11*'2021'!V11</f>
        <v>0</v>
      </c>
      <c r="W36" s="14">
        <f>W11*'2021'!W11</f>
        <v>0</v>
      </c>
      <c r="X36" s="14">
        <f>X11*'2021'!X11</f>
        <v>0</v>
      </c>
      <c r="Y36" s="14">
        <f>Y11*'2021'!Y11</f>
        <v>0</v>
      </c>
      <c r="Z36" s="14">
        <f>Z11*'2021'!Z11</f>
        <v>0</v>
      </c>
      <c r="AA36" s="14">
        <f>AA11*'2021'!AA11</f>
        <v>0</v>
      </c>
      <c r="AB36" s="14">
        <f>AB11*'2021'!AB11</f>
        <v>0</v>
      </c>
      <c r="AC36" s="14">
        <f>AC11*'2021'!AC11</f>
        <v>0</v>
      </c>
      <c r="AD36" s="14">
        <f>AD11*'2021'!AD11</f>
        <v>0</v>
      </c>
      <c r="AE36" s="14">
        <f>AE11*'2021'!AE11</f>
        <v>0</v>
      </c>
      <c r="AF36" s="14">
        <f>AF11*'2021'!AF11</f>
        <v>0</v>
      </c>
      <c r="AG36" s="14">
        <f>AG11*'2021'!AG11</f>
        <v>0</v>
      </c>
      <c r="AH36" s="14">
        <f>AH11*'2021'!AH11</f>
        <v>0</v>
      </c>
      <c r="AI36" s="14">
        <f>AI11*'2021'!AI11</f>
        <v>0</v>
      </c>
      <c r="AJ36" s="15">
        <f t="shared" si="7"/>
        <v>-0.51589730000000023</v>
      </c>
      <c r="AK36" s="13">
        <f t="shared" si="8"/>
        <v>-0.51589730000000023</v>
      </c>
      <c r="AL36" s="13">
        <f>AK36-'2021_all'!AK36</f>
        <v>-0.50875150500658761</v>
      </c>
    </row>
    <row r="37" spans="2:38" x14ac:dyDescent="0.25">
      <c r="B37" t="str">
        <f t="shared" si="6"/>
        <v>01000</v>
      </c>
      <c r="D37" s="14">
        <f>D12*'2021'!D12</f>
        <v>0</v>
      </c>
      <c r="E37" s="14">
        <f>E12*'2021'!E12</f>
        <v>0</v>
      </c>
      <c r="F37" s="14">
        <f>F12*'2021'!F12</f>
        <v>0</v>
      </c>
      <c r="G37" s="14">
        <f>G12*'2021'!G12</f>
        <v>0</v>
      </c>
      <c r="H37" s="14">
        <f>H12*'2021'!H12</f>
        <v>0</v>
      </c>
      <c r="I37" s="14">
        <f>I12*'2021'!I12</f>
        <v>0</v>
      </c>
      <c r="J37" s="14">
        <f>J12*'2021'!J12</f>
        <v>0</v>
      </c>
      <c r="K37" s="14">
        <f>K12*'2021'!K12</f>
        <v>0</v>
      </c>
      <c r="L37" s="14">
        <f>L12*'2021'!L12</f>
        <v>7</v>
      </c>
      <c r="M37" s="14">
        <f>M12*'2021'!M12</f>
        <v>9.5605740000000026</v>
      </c>
      <c r="N37" s="14">
        <f>N12*'2021'!N12</f>
        <v>2.0842115000000003</v>
      </c>
      <c r="O37" s="14">
        <f>O12*'2021'!O12</f>
        <v>0</v>
      </c>
      <c r="P37" s="14">
        <f>P12*'2021'!P12</f>
        <v>0</v>
      </c>
      <c r="Q37" s="14">
        <f>Q12*'2021'!Q12</f>
        <v>0</v>
      </c>
      <c r="R37" s="14">
        <f>R12*'2021'!R12</f>
        <v>0</v>
      </c>
      <c r="S37" s="14">
        <f>S12*'2021'!S12</f>
        <v>0</v>
      </c>
      <c r="T37" s="14">
        <f>T12*'2021'!T12</f>
        <v>-14.174666200000006</v>
      </c>
      <c r="U37" s="14">
        <f>U12*'2021'!U12</f>
        <v>0</v>
      </c>
      <c r="V37" s="14">
        <f>V12*'2021'!V12</f>
        <v>0</v>
      </c>
      <c r="W37" s="14">
        <f>W12*'2021'!W12</f>
        <v>0</v>
      </c>
      <c r="X37" s="14">
        <f>X12*'2021'!X12</f>
        <v>0</v>
      </c>
      <c r="Y37" s="14">
        <f>Y12*'2021'!Y12</f>
        <v>0</v>
      </c>
      <c r="Z37" s="14">
        <f>Z12*'2021'!Z12</f>
        <v>0</v>
      </c>
      <c r="AA37" s="14">
        <f>AA12*'2021'!AA12</f>
        <v>0</v>
      </c>
      <c r="AB37" s="14">
        <f>AB12*'2021'!AB12</f>
        <v>0</v>
      </c>
      <c r="AC37" s="14">
        <f>AC12*'2021'!AC12</f>
        <v>0</v>
      </c>
      <c r="AD37" s="14">
        <f>AD12*'2021'!AD12</f>
        <v>0</v>
      </c>
      <c r="AE37" s="14">
        <f>AE12*'2021'!AE12</f>
        <v>0</v>
      </c>
      <c r="AF37" s="14">
        <f>AF12*'2021'!AF12</f>
        <v>0</v>
      </c>
      <c r="AG37" s="14">
        <f>AG12*'2021'!AG12</f>
        <v>0</v>
      </c>
      <c r="AH37" s="14">
        <f>AH12*'2021'!AH12</f>
        <v>0</v>
      </c>
      <c r="AI37" s="14">
        <f>AI12*'2021'!AI12</f>
        <v>0</v>
      </c>
      <c r="AJ37" s="15">
        <f t="shared" si="7"/>
        <v>4.4701192999999986</v>
      </c>
      <c r="AK37" s="13">
        <f t="shared" si="8"/>
        <v>3.3359099253731331E-2</v>
      </c>
      <c r="AL37" s="13">
        <f>AK37-'2021_all'!AK37</f>
        <v>3.3359074822704879E-2</v>
      </c>
    </row>
    <row r="38" spans="2:38" x14ac:dyDescent="0.25">
      <c r="B38" t="str">
        <f t="shared" si="6"/>
        <v>01001</v>
      </c>
      <c r="D38" s="14">
        <f>D13*'2021'!D13</f>
        <v>0</v>
      </c>
      <c r="E38" s="14">
        <f>E13*'2021'!E13</f>
        <v>0</v>
      </c>
      <c r="F38" s="14">
        <f>F13*'2021'!F13</f>
        <v>0</v>
      </c>
      <c r="G38" s="14">
        <f>G13*'2021'!G13</f>
        <v>0</v>
      </c>
      <c r="H38" s="14">
        <f>H13*'2021'!H13</f>
        <v>0</v>
      </c>
      <c r="I38" s="14">
        <f>I13*'2021'!I13</f>
        <v>0</v>
      </c>
      <c r="J38" s="14">
        <f>J13*'2021'!J13</f>
        <v>0</v>
      </c>
      <c r="K38" s="14">
        <f>K13*'2021'!K13</f>
        <v>0</v>
      </c>
      <c r="L38" s="14">
        <f>L13*'2021'!L13</f>
        <v>1.7344284999999997</v>
      </c>
      <c r="M38" s="14">
        <f>M13*'2021'!M13</f>
        <v>0</v>
      </c>
      <c r="N38" s="14">
        <f>N13*'2021'!N13</f>
        <v>1.1512707999999998</v>
      </c>
      <c r="O38" s="14">
        <f>O13*'2021'!O13</f>
        <v>6.2399339999999937</v>
      </c>
      <c r="P38" s="14">
        <f>P13*'2021'!P13</f>
        <v>0</v>
      </c>
      <c r="Q38" s="14">
        <f>Q13*'2021'!Q13</f>
        <v>0.64980550000000026</v>
      </c>
      <c r="R38" s="14">
        <f>R13*'2021'!R13</f>
        <v>1.6865129999999997</v>
      </c>
      <c r="S38" s="14">
        <f>S13*'2021'!S13</f>
        <v>0</v>
      </c>
      <c r="T38" s="14">
        <f>T13*'2021'!T13</f>
        <v>0</v>
      </c>
      <c r="U38" s="14">
        <f>U13*'2021'!U13</f>
        <v>-9.0008850000000056</v>
      </c>
      <c r="V38" s="14">
        <f>V13*'2021'!V13</f>
        <v>-0.84446560000000037</v>
      </c>
      <c r="W38" s="14">
        <f>W13*'2021'!W13</f>
        <v>0</v>
      </c>
      <c r="X38" s="14">
        <f>X13*'2021'!X13</f>
        <v>0</v>
      </c>
      <c r="Y38" s="14">
        <f>Y13*'2021'!Y13</f>
        <v>0</v>
      </c>
      <c r="Z38" s="14">
        <f>Z13*'2021'!Z13</f>
        <v>0</v>
      </c>
      <c r="AA38" s="14">
        <f>AA13*'2021'!AA13</f>
        <v>0</v>
      </c>
      <c r="AB38" s="14">
        <f>AB13*'2021'!AB13</f>
        <v>-4.2910640000000004</v>
      </c>
      <c r="AC38" s="14">
        <f>AC13*'2021'!AC13</f>
        <v>0</v>
      </c>
      <c r="AD38" s="14">
        <f>AD13*'2021'!AD13</f>
        <v>0</v>
      </c>
      <c r="AE38" s="14">
        <f>AE13*'2021'!AE13</f>
        <v>0</v>
      </c>
      <c r="AF38" s="14">
        <f>AF13*'2021'!AF13</f>
        <v>0</v>
      </c>
      <c r="AG38" s="14">
        <f>AG13*'2021'!AG13</f>
        <v>0</v>
      </c>
      <c r="AH38" s="14">
        <f>AH13*'2021'!AH13</f>
        <v>0</v>
      </c>
      <c r="AI38" s="14">
        <f>AI13*'2021'!AI13</f>
        <v>0</v>
      </c>
      <c r="AJ38" s="15">
        <f t="shared" si="7"/>
        <v>-2.6744628000000139</v>
      </c>
      <c r="AK38" s="13">
        <f t="shared" si="8"/>
        <v>-4.3136496774193775E-2</v>
      </c>
      <c r="AL38" s="13">
        <f>AK38-'2021_all'!AK38</f>
        <v>-4.0735236953889621E-2</v>
      </c>
    </row>
    <row r="39" spans="2:38" x14ac:dyDescent="0.25">
      <c r="B39" t="str">
        <f t="shared" si="6"/>
        <v>01010</v>
      </c>
      <c r="D39" s="14">
        <f>D14*'2021'!D14</f>
        <v>0</v>
      </c>
      <c r="E39" s="14">
        <f>E14*'2021'!E14</f>
        <v>0</v>
      </c>
      <c r="F39" s="14">
        <f>F14*'2021'!F14</f>
        <v>0</v>
      </c>
      <c r="G39" s="14">
        <f>G14*'2021'!G14</f>
        <v>0</v>
      </c>
      <c r="H39" s="14">
        <f>H14*'2021'!H14</f>
        <v>0</v>
      </c>
      <c r="I39" s="14">
        <f>I14*'2021'!I14</f>
        <v>0</v>
      </c>
      <c r="J39" s="14">
        <f>J14*'2021'!J14</f>
        <v>0</v>
      </c>
      <c r="K39" s="14">
        <f>K14*'2021'!K14</f>
        <v>0</v>
      </c>
      <c r="L39" s="14">
        <f>L14*'2021'!L14</f>
        <v>0</v>
      </c>
      <c r="M39" s="14">
        <f>M14*'2021'!M14</f>
        <v>0</v>
      </c>
      <c r="N39" s="14">
        <f>N14*'2021'!N14</f>
        <v>0</v>
      </c>
      <c r="O39" s="14">
        <f>O14*'2021'!O14</f>
        <v>1.058899199999999</v>
      </c>
      <c r="P39" s="14">
        <f>P14*'2021'!P14</f>
        <v>0</v>
      </c>
      <c r="Q39" s="14">
        <f>Q14*'2021'!Q14</f>
        <v>0.99706939999999999</v>
      </c>
      <c r="R39" s="14">
        <f>R14*'2021'!R14</f>
        <v>0</v>
      </c>
      <c r="S39" s="14">
        <f>S14*'2021'!S14</f>
        <v>0</v>
      </c>
      <c r="T39" s="14">
        <f>T14*'2021'!T14</f>
        <v>0</v>
      </c>
      <c r="U39" s="14">
        <f>U14*'2021'!U14</f>
        <v>0</v>
      </c>
      <c r="V39" s="14">
        <f>V14*'2021'!V14</f>
        <v>-1.4495488000000005</v>
      </c>
      <c r="W39" s="14">
        <f>W14*'2021'!W14</f>
        <v>0</v>
      </c>
      <c r="X39" s="14">
        <f>X14*'2021'!X14</f>
        <v>-0.61118700000000015</v>
      </c>
      <c r="Y39" s="14">
        <f>Y14*'2021'!Y14</f>
        <v>0</v>
      </c>
      <c r="Z39" s="14">
        <f>Z14*'2021'!Z14</f>
        <v>0</v>
      </c>
      <c r="AA39" s="14">
        <f>AA14*'2021'!AA14</f>
        <v>0</v>
      </c>
      <c r="AB39" s="14">
        <f>AB14*'2021'!AB14</f>
        <v>0</v>
      </c>
      <c r="AC39" s="14">
        <f>AC14*'2021'!AC14</f>
        <v>0</v>
      </c>
      <c r="AD39" s="14">
        <f>AD14*'2021'!AD14</f>
        <v>0</v>
      </c>
      <c r="AE39" s="14">
        <f>AE14*'2021'!AE14</f>
        <v>0</v>
      </c>
      <c r="AF39" s="14">
        <f>AF14*'2021'!AF14</f>
        <v>0</v>
      </c>
      <c r="AG39" s="14">
        <f>AG14*'2021'!AG14</f>
        <v>0</v>
      </c>
      <c r="AH39" s="14">
        <f>AH14*'2021'!AH14</f>
        <v>0</v>
      </c>
      <c r="AI39" s="14">
        <f>AI14*'2021'!AI14</f>
        <v>0</v>
      </c>
      <c r="AJ39" s="15">
        <f t="shared" si="7"/>
        <v>-4.7672000000016368E-3</v>
      </c>
      <c r="AK39" s="13">
        <f t="shared" si="8"/>
        <v>-3.9726666666680305E-4</v>
      </c>
      <c r="AL39" s="13">
        <f>AK39-'2021_all'!AK39</f>
        <v>1.0068400605697534E-2</v>
      </c>
    </row>
    <row r="40" spans="2:38" x14ac:dyDescent="0.25">
      <c r="B40" t="str">
        <f t="shared" si="6"/>
        <v>01011</v>
      </c>
      <c r="D40" s="14">
        <f>D15*'2021'!D15</f>
        <v>0</v>
      </c>
      <c r="E40" s="14">
        <f>E15*'2021'!E15</f>
        <v>0</v>
      </c>
      <c r="F40" s="14">
        <f>F15*'2021'!F15</f>
        <v>0</v>
      </c>
      <c r="G40" s="14">
        <f>G15*'2021'!G15</f>
        <v>0</v>
      </c>
      <c r="H40" s="14">
        <f>H15*'2021'!H15</f>
        <v>0</v>
      </c>
      <c r="I40" s="14">
        <f>I15*'2021'!I15</f>
        <v>0</v>
      </c>
      <c r="J40" s="14">
        <f>J15*'2021'!J15</f>
        <v>0</v>
      </c>
      <c r="K40" s="14">
        <f>K15*'2021'!K15</f>
        <v>0</v>
      </c>
      <c r="L40" s="14">
        <f>L15*'2021'!L15</f>
        <v>4.6368657999999998</v>
      </c>
      <c r="M40" s="14">
        <f>M15*'2021'!M15</f>
        <v>0</v>
      </c>
      <c r="N40" s="14">
        <f>N15*'2021'!N15</f>
        <v>0</v>
      </c>
      <c r="O40" s="14">
        <f>O15*'2021'!O15</f>
        <v>0</v>
      </c>
      <c r="P40" s="14">
        <f>P15*'2021'!P15</f>
        <v>0</v>
      </c>
      <c r="Q40" s="14">
        <f>Q15*'2021'!Q15</f>
        <v>1.2338099000000002</v>
      </c>
      <c r="R40" s="14">
        <f>R15*'2021'!R15</f>
        <v>1.4272608999999998</v>
      </c>
      <c r="S40" s="14">
        <f>S15*'2021'!S15</f>
        <v>1.4723177999999999</v>
      </c>
      <c r="T40" s="14">
        <f>T15*'2021'!T15</f>
        <v>0</v>
      </c>
      <c r="U40" s="14">
        <f>U15*'2021'!U15</f>
        <v>0.56794980000000006</v>
      </c>
      <c r="V40" s="14">
        <f>V15*'2021'!V15</f>
        <v>0</v>
      </c>
      <c r="W40" s="14">
        <f>W15*'2021'!W15</f>
        <v>-3.4051976000000002</v>
      </c>
      <c r="X40" s="14">
        <f>X15*'2021'!X15</f>
        <v>0</v>
      </c>
      <c r="Y40" s="14">
        <f>Y15*'2021'!Y15</f>
        <v>-0.87019700000000011</v>
      </c>
      <c r="Z40" s="14">
        <f>Z15*'2021'!Z15</f>
        <v>-0.35573599999999983</v>
      </c>
      <c r="AA40" s="14">
        <f>AA15*'2021'!AA15</f>
        <v>0</v>
      </c>
      <c r="AB40" s="14">
        <f>AB15*'2021'!AB15</f>
        <v>0</v>
      </c>
      <c r="AC40" s="14">
        <f>AC15*'2021'!AC15</f>
        <v>0</v>
      </c>
      <c r="AD40" s="14">
        <f>AD15*'2021'!AD15</f>
        <v>-1.9047571999999997</v>
      </c>
      <c r="AE40" s="14">
        <f>AE15*'2021'!AE15</f>
        <v>0</v>
      </c>
      <c r="AF40" s="14">
        <f>AF15*'2021'!AF15</f>
        <v>0</v>
      </c>
      <c r="AG40" s="14">
        <f>AG15*'2021'!AG15</f>
        <v>0</v>
      </c>
      <c r="AH40" s="14">
        <f>AH15*'2021'!AH15</f>
        <v>0</v>
      </c>
      <c r="AI40" s="14">
        <f>AI15*'2021'!AI15</f>
        <v>0</v>
      </c>
      <c r="AJ40" s="15">
        <f t="shared" si="7"/>
        <v>2.8023163999999996</v>
      </c>
      <c r="AK40" s="13">
        <f t="shared" si="8"/>
        <v>0.14011581999999997</v>
      </c>
      <c r="AL40" s="13">
        <f>AK40-'2021_all'!AK40</f>
        <v>0.15460371883504187</v>
      </c>
    </row>
    <row r="41" spans="2:38" x14ac:dyDescent="0.25">
      <c r="B41" t="str">
        <f t="shared" si="6"/>
        <v>01100</v>
      </c>
      <c r="D41" s="14">
        <f>D16*'2021'!D16</f>
        <v>0</v>
      </c>
      <c r="E41" s="14">
        <f>E16*'2021'!E16</f>
        <v>0</v>
      </c>
      <c r="F41" s="14">
        <f>F16*'2021'!F16</f>
        <v>0</v>
      </c>
      <c r="G41" s="14">
        <f>G16*'2021'!G16</f>
        <v>0</v>
      </c>
      <c r="H41" s="14">
        <f>H16*'2021'!H16</f>
        <v>0</v>
      </c>
      <c r="I41" s="14">
        <f>I16*'2021'!I16</f>
        <v>0</v>
      </c>
      <c r="J41" s="14">
        <f>J16*'2021'!J16</f>
        <v>0</v>
      </c>
      <c r="K41" s="14">
        <f>K16*'2021'!K16</f>
        <v>0</v>
      </c>
      <c r="L41" s="14">
        <f>L16*'2021'!L16</f>
        <v>1.3112034999999997</v>
      </c>
      <c r="M41" s="14">
        <f>M16*'2021'!M16</f>
        <v>0</v>
      </c>
      <c r="N41" s="14">
        <f>N16*'2021'!N16</f>
        <v>0</v>
      </c>
      <c r="O41" s="14">
        <f>O16*'2021'!O16</f>
        <v>0</v>
      </c>
      <c r="P41" s="14">
        <f>P16*'2021'!P16</f>
        <v>0</v>
      </c>
      <c r="Q41" s="14">
        <f>Q16*'2021'!Q16</f>
        <v>0.4531609999999997</v>
      </c>
      <c r="R41" s="14">
        <f>R16*'2021'!R16</f>
        <v>0</v>
      </c>
      <c r="S41" s="14">
        <f>S16*'2021'!S16</f>
        <v>0</v>
      </c>
      <c r="T41" s="14">
        <f>T16*'2021'!T16</f>
        <v>0.43914540000000035</v>
      </c>
      <c r="U41" s="14">
        <f>U16*'2021'!U16</f>
        <v>-0.72325450000000013</v>
      </c>
      <c r="V41" s="14">
        <f>V16*'2021'!V16</f>
        <v>0</v>
      </c>
      <c r="W41" s="14">
        <f>W16*'2021'!W16</f>
        <v>0</v>
      </c>
      <c r="X41" s="14">
        <f>X16*'2021'!X16</f>
        <v>-1.7326431</v>
      </c>
      <c r="Y41" s="14">
        <f>Y16*'2021'!Y16</f>
        <v>0</v>
      </c>
      <c r="Z41" s="14">
        <f>Z16*'2021'!Z16</f>
        <v>0</v>
      </c>
      <c r="AA41" s="14">
        <f>AA16*'2021'!AA16</f>
        <v>0</v>
      </c>
      <c r="AB41" s="14">
        <f>AB16*'2021'!AB16</f>
        <v>0</v>
      </c>
      <c r="AC41" s="14">
        <f>AC16*'2021'!AC16</f>
        <v>0</v>
      </c>
      <c r="AD41" s="14">
        <f>AD16*'2021'!AD16</f>
        <v>0</v>
      </c>
      <c r="AE41" s="14">
        <f>AE16*'2021'!AE16</f>
        <v>0</v>
      </c>
      <c r="AF41" s="14">
        <f>AF16*'2021'!AF16</f>
        <v>0</v>
      </c>
      <c r="AG41" s="14">
        <f>AG16*'2021'!AG16</f>
        <v>0</v>
      </c>
      <c r="AH41" s="14">
        <f>AH16*'2021'!AH16</f>
        <v>0</v>
      </c>
      <c r="AI41" s="14">
        <f>AI16*'2021'!AI16</f>
        <v>0</v>
      </c>
      <c r="AJ41" s="15">
        <f t="shared" si="7"/>
        <v>-0.25238770000000033</v>
      </c>
      <c r="AK41" s="13">
        <f t="shared" si="8"/>
        <v>-2.5238770000000032E-2</v>
      </c>
      <c r="AL41" s="13">
        <f>AK41-'2021_all'!AK41</f>
        <v>-2.29492115E-2</v>
      </c>
    </row>
    <row r="42" spans="2:38" x14ac:dyDescent="0.25">
      <c r="B42" t="str">
        <f t="shared" si="6"/>
        <v>01101</v>
      </c>
      <c r="D42" s="14">
        <f>D17*'2021'!D17</f>
        <v>0</v>
      </c>
      <c r="E42" s="14">
        <f>E17*'2021'!E17</f>
        <v>0</v>
      </c>
      <c r="F42" s="14">
        <f>F17*'2021'!F17</f>
        <v>0</v>
      </c>
      <c r="G42" s="14">
        <f>G17*'2021'!G17</f>
        <v>0</v>
      </c>
      <c r="H42" s="14">
        <f>H17*'2021'!H17</f>
        <v>0</v>
      </c>
      <c r="I42" s="14">
        <f>I17*'2021'!I17</f>
        <v>0</v>
      </c>
      <c r="J42" s="14">
        <f>J17*'2021'!J17</f>
        <v>0</v>
      </c>
      <c r="K42" s="14">
        <f>K17*'2021'!K17</f>
        <v>0</v>
      </c>
      <c r="L42" s="14">
        <f>L17*'2021'!L17</f>
        <v>0</v>
      </c>
      <c r="M42" s="14">
        <f>M17*'2021'!M17</f>
        <v>0</v>
      </c>
      <c r="N42" s="14">
        <f>N17*'2021'!N17</f>
        <v>0</v>
      </c>
      <c r="O42" s="14">
        <f>O17*'2021'!O17</f>
        <v>0.76619009999999976</v>
      </c>
      <c r="P42" s="14">
        <f>P17*'2021'!P17</f>
        <v>0</v>
      </c>
      <c r="Q42" s="14">
        <f>Q17*'2021'!Q17</f>
        <v>0</v>
      </c>
      <c r="R42" s="14">
        <f>R17*'2021'!R17</f>
        <v>1.1934509999999996</v>
      </c>
      <c r="S42" s="14">
        <f>S17*'2021'!S17</f>
        <v>0</v>
      </c>
      <c r="T42" s="14">
        <f>T17*'2021'!T17</f>
        <v>0</v>
      </c>
      <c r="U42" s="14">
        <f>U17*'2021'!U17</f>
        <v>0</v>
      </c>
      <c r="V42" s="14">
        <f>V17*'2021'!V17</f>
        <v>0</v>
      </c>
      <c r="W42" s="14">
        <f>W17*'2021'!W17</f>
        <v>0</v>
      </c>
      <c r="X42" s="14">
        <f>X17*'2021'!X17</f>
        <v>0</v>
      </c>
      <c r="Y42" s="14">
        <f>Y17*'2021'!Y17</f>
        <v>-2.0067252000000009</v>
      </c>
      <c r="Z42" s="14">
        <f>Z17*'2021'!Z17</f>
        <v>0</v>
      </c>
      <c r="AA42" s="14">
        <f>AA17*'2021'!AA17</f>
        <v>0</v>
      </c>
      <c r="AB42" s="14">
        <f>AB17*'2021'!AB17</f>
        <v>0</v>
      </c>
      <c r="AC42" s="14">
        <f>AC17*'2021'!AC17</f>
        <v>0</v>
      </c>
      <c r="AD42" s="14">
        <f>AD17*'2021'!AD17</f>
        <v>0</v>
      </c>
      <c r="AE42" s="14">
        <f>AE17*'2021'!AE17</f>
        <v>0</v>
      </c>
      <c r="AF42" s="14">
        <f>AF17*'2021'!AF17</f>
        <v>0</v>
      </c>
      <c r="AG42" s="14">
        <f>AG17*'2021'!AG17</f>
        <v>0</v>
      </c>
      <c r="AH42" s="14">
        <f>AH17*'2021'!AH17</f>
        <v>0</v>
      </c>
      <c r="AI42" s="14">
        <f>AI17*'2021'!AI17</f>
        <v>0</v>
      </c>
      <c r="AJ42" s="15">
        <f t="shared" si="7"/>
        <v>-4.7084100000001516E-2</v>
      </c>
      <c r="AK42" s="13">
        <f t="shared" si="8"/>
        <v>-9.4168200000003029E-3</v>
      </c>
      <c r="AL42" s="13">
        <f>AK42-'2021_all'!AK42</f>
        <v>4.2219315572857262E-3</v>
      </c>
    </row>
    <row r="43" spans="2:38" x14ac:dyDescent="0.25">
      <c r="B43" t="str">
        <f t="shared" si="6"/>
        <v>01110</v>
      </c>
      <c r="D43" s="14">
        <f>D18*'2021'!D18</f>
        <v>0</v>
      </c>
      <c r="E43" s="14">
        <f>E18*'2021'!E18</f>
        <v>0</v>
      </c>
      <c r="F43" s="14">
        <f>F18*'2021'!F18</f>
        <v>0</v>
      </c>
      <c r="G43" s="14">
        <f>G18*'2021'!G18</f>
        <v>0</v>
      </c>
      <c r="H43" s="14">
        <f>H18*'2021'!H18</f>
        <v>0</v>
      </c>
      <c r="I43" s="14">
        <f>I18*'2021'!I18</f>
        <v>0</v>
      </c>
      <c r="J43" s="14">
        <f>J18*'2021'!J18</f>
        <v>0</v>
      </c>
      <c r="K43" s="14">
        <f>K18*'2021'!K18</f>
        <v>0</v>
      </c>
      <c r="L43" s="14">
        <f>L18*'2021'!L18</f>
        <v>0</v>
      </c>
      <c r="M43" s="14">
        <f>M18*'2021'!M18</f>
        <v>0</v>
      </c>
      <c r="N43" s="14">
        <f>N18*'2021'!N18</f>
        <v>1.3080143</v>
      </c>
      <c r="O43" s="14">
        <f>O18*'2021'!O18</f>
        <v>0</v>
      </c>
      <c r="P43" s="14">
        <f>P18*'2021'!P18</f>
        <v>0</v>
      </c>
      <c r="Q43" s="14">
        <f>Q18*'2021'!Q18</f>
        <v>0.8065490000000004</v>
      </c>
      <c r="R43" s="14">
        <f>R18*'2021'!R18</f>
        <v>0</v>
      </c>
      <c r="S43" s="14">
        <f>S18*'2021'!S18</f>
        <v>0.61779600000000023</v>
      </c>
      <c r="T43" s="14">
        <f>T18*'2021'!T18</f>
        <v>0</v>
      </c>
      <c r="U43" s="14">
        <f>U18*'2021'!U18</f>
        <v>0</v>
      </c>
      <c r="V43" s="14">
        <f>V18*'2021'!V18</f>
        <v>-5.4372899999999946E-2</v>
      </c>
      <c r="W43" s="14">
        <f>W18*'2021'!W18</f>
        <v>0</v>
      </c>
      <c r="X43" s="14">
        <f>X18*'2021'!X18</f>
        <v>2.4208000000003338E-3</v>
      </c>
      <c r="Y43" s="14">
        <f>Y18*'2021'!Y18</f>
        <v>0</v>
      </c>
      <c r="Z43" s="14">
        <f>Z18*'2021'!Z18</f>
        <v>0</v>
      </c>
      <c r="AA43" s="14">
        <f>AA18*'2021'!AA18</f>
        <v>0</v>
      </c>
      <c r="AB43" s="14">
        <f>AB18*'2021'!AB18</f>
        <v>0</v>
      </c>
      <c r="AC43" s="14">
        <f>AC18*'2021'!AC18</f>
        <v>0</v>
      </c>
      <c r="AD43" s="14">
        <f>AD18*'2021'!AD18</f>
        <v>0</v>
      </c>
      <c r="AE43" s="14">
        <f>AE18*'2021'!AE18</f>
        <v>0</v>
      </c>
      <c r="AF43" s="14">
        <f>AF18*'2021'!AF18</f>
        <v>0</v>
      </c>
      <c r="AG43" s="14">
        <f>AG18*'2021'!AG18</f>
        <v>0</v>
      </c>
      <c r="AH43" s="14">
        <f>AH18*'2021'!AH18</f>
        <v>0</v>
      </c>
      <c r="AI43" s="14">
        <f>AI18*'2021'!AI18</f>
        <v>0</v>
      </c>
      <c r="AJ43" s="15">
        <f t="shared" si="7"/>
        <v>2.6804072000000012</v>
      </c>
      <c r="AK43" s="13">
        <f t="shared" si="8"/>
        <v>0.44673453333333352</v>
      </c>
      <c r="AL43" s="13">
        <f>AK43-'2021_all'!AK43</f>
        <v>0.454945054147813</v>
      </c>
    </row>
    <row r="44" spans="2:38" x14ac:dyDescent="0.25">
      <c r="B44" t="str">
        <f t="shared" si="6"/>
        <v>01111</v>
      </c>
      <c r="D44" s="14">
        <f>D19*'2021'!D19</f>
        <v>0</v>
      </c>
      <c r="E44" s="14">
        <f>E19*'2021'!E19</f>
        <v>0</v>
      </c>
      <c r="F44" s="14">
        <f>F19*'2021'!F19</f>
        <v>0</v>
      </c>
      <c r="G44" s="14">
        <f>G19*'2021'!G19</f>
        <v>0</v>
      </c>
      <c r="H44" s="14">
        <f>H19*'2021'!H19</f>
        <v>0</v>
      </c>
      <c r="I44" s="14">
        <f>I19*'2021'!I19</f>
        <v>0</v>
      </c>
      <c r="J44" s="14">
        <f>J19*'2021'!J19</f>
        <v>0</v>
      </c>
      <c r="K44" s="14">
        <f>K19*'2021'!K19</f>
        <v>0</v>
      </c>
      <c r="L44" s="14">
        <f>L19*'2021'!L19</f>
        <v>2.582274</v>
      </c>
      <c r="M44" s="14">
        <f>M19*'2021'!M19</f>
        <v>0</v>
      </c>
      <c r="N44" s="14">
        <f>N19*'2021'!N19</f>
        <v>0</v>
      </c>
      <c r="O44" s="14">
        <f>O19*'2021'!O19</f>
        <v>0</v>
      </c>
      <c r="P44" s="14">
        <f>P19*'2021'!P19</f>
        <v>0</v>
      </c>
      <c r="Q44" s="14">
        <f>Q19*'2021'!Q19</f>
        <v>0</v>
      </c>
      <c r="R44" s="14">
        <f>R19*'2021'!R19</f>
        <v>0</v>
      </c>
      <c r="S44" s="14">
        <f>S19*'2021'!S19</f>
        <v>2</v>
      </c>
      <c r="T44" s="14">
        <f>T19*'2021'!T19</f>
        <v>0</v>
      </c>
      <c r="U44" s="14">
        <f>U19*'2021'!U19</f>
        <v>0</v>
      </c>
      <c r="V44" s="14">
        <f>V19*'2021'!V19</f>
        <v>0</v>
      </c>
      <c r="W44" s="14">
        <f>W19*'2021'!W19</f>
        <v>0</v>
      </c>
      <c r="X44" s="14">
        <f>X19*'2021'!X19</f>
        <v>0</v>
      </c>
      <c r="Y44" s="14">
        <f>Y19*'2021'!Y19</f>
        <v>-0.1712574</v>
      </c>
      <c r="Z44" s="14">
        <f>Z19*'2021'!Z19</f>
        <v>0</v>
      </c>
      <c r="AA44" s="14">
        <f>AA19*'2021'!AA19</f>
        <v>-1.7043783999999995</v>
      </c>
      <c r="AB44" s="14">
        <f>AB19*'2021'!AB19</f>
        <v>0</v>
      </c>
      <c r="AC44" s="14">
        <f>AC19*'2021'!AC19</f>
        <v>0</v>
      </c>
      <c r="AD44" s="14">
        <f>AD19*'2021'!AD19</f>
        <v>0</v>
      </c>
      <c r="AE44" s="14">
        <f>AE19*'2021'!AE19</f>
        <v>0</v>
      </c>
      <c r="AF44" s="14">
        <f>AF19*'2021'!AF19</f>
        <v>0</v>
      </c>
      <c r="AG44" s="14">
        <f>AG19*'2021'!AG19</f>
        <v>0</v>
      </c>
      <c r="AH44" s="14">
        <f>AH19*'2021'!AH19</f>
        <v>-1.6885374999999998</v>
      </c>
      <c r="AI44" s="14">
        <f>AI19*'2021'!AI19</f>
        <v>0</v>
      </c>
      <c r="AJ44" s="15">
        <f t="shared" si="7"/>
        <v>1.0181007000000006</v>
      </c>
      <c r="AK44" s="13">
        <f t="shared" si="8"/>
        <v>0.14544295714285724</v>
      </c>
      <c r="AL44" s="13">
        <f>AK44-'2021_all'!AK44</f>
        <v>0.15820228066517297</v>
      </c>
    </row>
    <row r="45" spans="2:38" x14ac:dyDescent="0.25">
      <c r="B45" t="str">
        <f t="shared" si="6"/>
        <v>10000</v>
      </c>
      <c r="D45" s="14">
        <f>D20*'2021'!D20</f>
        <v>0</v>
      </c>
      <c r="E45" s="14">
        <f>E20*'2021'!E20</f>
        <v>0</v>
      </c>
      <c r="F45" s="14">
        <f>F20*'2021'!F20</f>
        <v>0</v>
      </c>
      <c r="G45" s="14">
        <f>G20*'2021'!G20</f>
        <v>0</v>
      </c>
      <c r="H45" s="14">
        <f>H20*'2021'!H20</f>
        <v>0</v>
      </c>
      <c r="I45" s="14">
        <f>I20*'2021'!I20</f>
        <v>0</v>
      </c>
      <c r="J45" s="14">
        <f>J20*'2021'!J20</f>
        <v>0</v>
      </c>
      <c r="K45" s="14">
        <f>K20*'2021'!K20</f>
        <v>0</v>
      </c>
      <c r="L45" s="14">
        <f>L20*'2021'!L20</f>
        <v>0</v>
      </c>
      <c r="M45" s="14">
        <f>M20*'2021'!M20</f>
        <v>0</v>
      </c>
      <c r="N45" s="14">
        <f>N20*'2021'!N20</f>
        <v>0</v>
      </c>
      <c r="O45" s="14">
        <f>O20*'2021'!O20</f>
        <v>0</v>
      </c>
      <c r="P45" s="14">
        <f>P20*'2021'!P20</f>
        <v>0</v>
      </c>
      <c r="Q45" s="14">
        <f>Q20*'2021'!Q20</f>
        <v>0</v>
      </c>
      <c r="R45" s="14">
        <f>R20*'2021'!R20</f>
        <v>0</v>
      </c>
      <c r="S45" s="14">
        <f>S20*'2021'!S20</f>
        <v>0</v>
      </c>
      <c r="T45" s="14">
        <f>T20*'2021'!T20</f>
        <v>9</v>
      </c>
      <c r="U45" s="14">
        <f>U20*'2021'!U20</f>
        <v>3.650183599999993</v>
      </c>
      <c r="V45" s="14">
        <f>V20*'2021'!V20</f>
        <v>0.65783039999999948</v>
      </c>
      <c r="W45" s="14">
        <f>W20*'2021'!W20</f>
        <v>0</v>
      </c>
      <c r="X45" s="14">
        <f>X20*'2021'!X20</f>
        <v>0</v>
      </c>
      <c r="Y45" s="14">
        <f>Y20*'2021'!Y20</f>
        <v>0</v>
      </c>
      <c r="Z45" s="14">
        <f>Z20*'2021'!Z20</f>
        <v>0</v>
      </c>
      <c r="AA45" s="14">
        <f>AA20*'2021'!AA20</f>
        <v>0</v>
      </c>
      <c r="AB45" s="14">
        <f>AB20*'2021'!AB20</f>
        <v>-6.7833471999999944</v>
      </c>
      <c r="AC45" s="14">
        <f>AC20*'2021'!AC20</f>
        <v>0</v>
      </c>
      <c r="AD45" s="14">
        <f>AD20*'2021'!AD20</f>
        <v>0</v>
      </c>
      <c r="AE45" s="14">
        <f>AE20*'2021'!AE20</f>
        <v>0</v>
      </c>
      <c r="AF45" s="14">
        <f>AF20*'2021'!AF20</f>
        <v>0</v>
      </c>
      <c r="AG45" s="14">
        <f>AG20*'2021'!AG20</f>
        <v>0</v>
      </c>
      <c r="AH45" s="14">
        <f>AH20*'2021'!AH20</f>
        <v>0</v>
      </c>
      <c r="AI45" s="14">
        <f>AI20*'2021'!AI20</f>
        <v>0</v>
      </c>
      <c r="AJ45" s="15">
        <f t="shared" si="7"/>
        <v>6.5246667999999985</v>
      </c>
      <c r="AK45" s="13">
        <f t="shared" si="8"/>
        <v>6.2737180769230752E-2</v>
      </c>
      <c r="AL45" s="13">
        <f>AK45-'2021_all'!AK45</f>
        <v>6.2737193501193486E-2</v>
      </c>
    </row>
    <row r="46" spans="2:38" x14ac:dyDescent="0.25">
      <c r="B46" t="str">
        <f t="shared" si="6"/>
        <v>10001</v>
      </c>
      <c r="D46" s="14">
        <f>D21*'2021'!D21</f>
        <v>0</v>
      </c>
      <c r="E46" s="14">
        <f>E21*'2021'!E21</f>
        <v>0</v>
      </c>
      <c r="F46" s="14">
        <f>F21*'2021'!F21</f>
        <v>0</v>
      </c>
      <c r="G46" s="14">
        <f>G21*'2021'!G21</f>
        <v>0</v>
      </c>
      <c r="H46" s="14">
        <f>H21*'2021'!H21</f>
        <v>0</v>
      </c>
      <c r="I46" s="14">
        <f>I21*'2021'!I21</f>
        <v>0</v>
      </c>
      <c r="J46" s="14">
        <f>J21*'2021'!J21</f>
        <v>0</v>
      </c>
      <c r="K46" s="14">
        <f>K21*'2021'!K21</f>
        <v>0</v>
      </c>
      <c r="L46" s="14">
        <f>L21*'2021'!L21</f>
        <v>0</v>
      </c>
      <c r="M46" s="14">
        <f>M21*'2021'!M21</f>
        <v>0</v>
      </c>
      <c r="N46" s="14">
        <f>N21*'2021'!N21</f>
        <v>0</v>
      </c>
      <c r="O46" s="14">
        <f>O21*'2021'!O21</f>
        <v>0</v>
      </c>
      <c r="P46" s="14">
        <f>P21*'2021'!P21</f>
        <v>0</v>
      </c>
      <c r="Q46" s="14">
        <f>Q21*'2021'!Q21</f>
        <v>0</v>
      </c>
      <c r="R46" s="14">
        <f>R21*'2021'!R21</f>
        <v>0</v>
      </c>
      <c r="S46" s="14">
        <f>S21*'2021'!S21</f>
        <v>0</v>
      </c>
      <c r="T46" s="14">
        <f>T21*'2021'!T21</f>
        <v>7.478545200000001</v>
      </c>
      <c r="U46" s="14">
        <f>U21*'2021'!U21</f>
        <v>0</v>
      </c>
      <c r="V46" s="14">
        <f>V21*'2021'!V21</f>
        <v>0</v>
      </c>
      <c r="W46" s="14">
        <f>W21*'2021'!W21</f>
        <v>1.6069780999999996</v>
      </c>
      <c r="X46" s="14">
        <f>X21*'2021'!X21</f>
        <v>0</v>
      </c>
      <c r="Y46" s="14">
        <f>Y21*'2021'!Y21</f>
        <v>0.28092659999999992</v>
      </c>
      <c r="Z46" s="14">
        <f>Z21*'2021'!Z21</f>
        <v>0.36028910000000014</v>
      </c>
      <c r="AA46" s="14">
        <f>AA21*'2021'!AA21</f>
        <v>0</v>
      </c>
      <c r="AB46" s="14">
        <f>AB21*'2021'!AB21</f>
        <v>0</v>
      </c>
      <c r="AC46" s="14">
        <f>AC21*'2021'!AC21</f>
        <v>-4.7270699999999977</v>
      </c>
      <c r="AD46" s="14">
        <f>AD21*'2021'!AD21</f>
        <v>0</v>
      </c>
      <c r="AE46" s="14">
        <f>AE21*'2021'!AE21</f>
        <v>0</v>
      </c>
      <c r="AF46" s="14">
        <f>AF21*'2021'!AF21</f>
        <v>0</v>
      </c>
      <c r="AG46" s="14">
        <f>AG21*'2021'!AG21</f>
        <v>0</v>
      </c>
      <c r="AH46" s="14">
        <f>AH21*'2021'!AH21</f>
        <v>0</v>
      </c>
      <c r="AI46" s="14">
        <f>AI21*'2021'!AI21</f>
        <v>0</v>
      </c>
      <c r="AJ46" s="15">
        <f t="shared" si="7"/>
        <v>4.9996690000000008</v>
      </c>
      <c r="AK46" s="13">
        <f t="shared" si="8"/>
        <v>0.15150512121212123</v>
      </c>
      <c r="AL46" s="13">
        <f>AK46-'2021_all'!AK46</f>
        <v>0.16019343809622183</v>
      </c>
    </row>
    <row r="47" spans="2:38" x14ac:dyDescent="0.25">
      <c r="B47" t="str">
        <f t="shared" si="6"/>
        <v>10010</v>
      </c>
      <c r="D47" s="14">
        <f>D22*'2021'!D22</f>
        <v>0</v>
      </c>
      <c r="E47" s="14">
        <f>E22*'2021'!E22</f>
        <v>0</v>
      </c>
      <c r="F47" s="14">
        <f>F22*'2021'!F22</f>
        <v>0</v>
      </c>
      <c r="G47" s="14">
        <f>G22*'2021'!G22</f>
        <v>0</v>
      </c>
      <c r="H47" s="14">
        <f>H22*'2021'!H22</f>
        <v>0</v>
      </c>
      <c r="I47" s="14">
        <f>I22*'2021'!I22</f>
        <v>0</v>
      </c>
      <c r="J47" s="14">
        <f>J22*'2021'!J22</f>
        <v>0</v>
      </c>
      <c r="K47" s="14">
        <f>K22*'2021'!K22</f>
        <v>0</v>
      </c>
      <c r="L47" s="14">
        <f>L22*'2021'!L22</f>
        <v>0</v>
      </c>
      <c r="M47" s="14">
        <f>M22*'2021'!M22</f>
        <v>0</v>
      </c>
      <c r="N47" s="14">
        <f>N22*'2021'!N22</f>
        <v>0</v>
      </c>
      <c r="O47" s="14">
        <f>O22*'2021'!O22</f>
        <v>0</v>
      </c>
      <c r="P47" s="14">
        <f>P22*'2021'!P22</f>
        <v>0</v>
      </c>
      <c r="Q47" s="14">
        <f>Q22*'2021'!Q22</f>
        <v>0</v>
      </c>
      <c r="R47" s="14">
        <f>R22*'2021'!R22</f>
        <v>0</v>
      </c>
      <c r="S47" s="14">
        <f>S22*'2021'!S22</f>
        <v>0</v>
      </c>
      <c r="T47" s="14">
        <f>T22*'2021'!T22</f>
        <v>0</v>
      </c>
      <c r="U47" s="14">
        <f>U22*'2021'!U22</f>
        <v>0</v>
      </c>
      <c r="V47" s="14">
        <f>V22*'2021'!V22</f>
        <v>1</v>
      </c>
      <c r="W47" s="14">
        <f>W22*'2021'!W22</f>
        <v>0.42196559999999961</v>
      </c>
      <c r="X47" s="14">
        <f>X22*'2021'!X22</f>
        <v>0</v>
      </c>
      <c r="Y47" s="14">
        <f>Y22*'2021'!Y22</f>
        <v>0</v>
      </c>
      <c r="Z47" s="14">
        <f>Z22*'2021'!Z22</f>
        <v>0</v>
      </c>
      <c r="AA47" s="14">
        <f>AA22*'2021'!AA22</f>
        <v>0</v>
      </c>
      <c r="AB47" s="14">
        <f>AB22*'2021'!AB22</f>
        <v>0</v>
      </c>
      <c r="AC47" s="14">
        <f>AC22*'2021'!AC22</f>
        <v>0</v>
      </c>
      <c r="AD47" s="14">
        <f>AD22*'2021'!AD22</f>
        <v>-2.2768661999999997</v>
      </c>
      <c r="AE47" s="14">
        <f>AE22*'2021'!AE22</f>
        <v>0</v>
      </c>
      <c r="AF47" s="14">
        <f>AF22*'2021'!AF22</f>
        <v>0</v>
      </c>
      <c r="AG47" s="14">
        <f>AG22*'2021'!AG22</f>
        <v>0</v>
      </c>
      <c r="AH47" s="14">
        <f>AH22*'2021'!AH22</f>
        <v>0</v>
      </c>
      <c r="AI47" s="14">
        <f>AI22*'2021'!AI22</f>
        <v>0</v>
      </c>
      <c r="AJ47" s="15">
        <f t="shared" si="7"/>
        <v>-0.85490060000000012</v>
      </c>
      <c r="AK47" s="13">
        <f t="shared" si="8"/>
        <v>-7.7718236363636381E-2</v>
      </c>
      <c r="AL47" s="13">
        <f>AK47-'2021_all'!AK47</f>
        <v>-7.474453766013274E-2</v>
      </c>
    </row>
    <row r="48" spans="2:38" x14ac:dyDescent="0.25">
      <c r="B48" t="str">
        <f t="shared" si="6"/>
        <v>10011</v>
      </c>
      <c r="D48" s="14">
        <f>D23*'2021'!D23</f>
        <v>0</v>
      </c>
      <c r="E48" s="14">
        <f>E23*'2021'!E23</f>
        <v>0</v>
      </c>
      <c r="F48" s="14">
        <f>F23*'2021'!F23</f>
        <v>0</v>
      </c>
      <c r="G48" s="14">
        <f>G23*'2021'!G23</f>
        <v>0</v>
      </c>
      <c r="H48" s="14">
        <f>H23*'2021'!H23</f>
        <v>0</v>
      </c>
      <c r="I48" s="14">
        <f>I23*'2021'!I23</f>
        <v>0</v>
      </c>
      <c r="J48" s="14">
        <f>J23*'2021'!J23</f>
        <v>0</v>
      </c>
      <c r="K48" s="14">
        <f>K23*'2021'!K23</f>
        <v>0</v>
      </c>
      <c r="L48" s="14">
        <f>L23*'2021'!L23</f>
        <v>0</v>
      </c>
      <c r="M48" s="14">
        <f>M23*'2021'!M23</f>
        <v>0</v>
      </c>
      <c r="N48" s="14">
        <f>N23*'2021'!N23</f>
        <v>0</v>
      </c>
      <c r="O48" s="14">
        <f>O23*'2021'!O23</f>
        <v>0</v>
      </c>
      <c r="P48" s="14">
        <f>P23*'2021'!P23</f>
        <v>0</v>
      </c>
      <c r="Q48" s="14">
        <f>Q23*'2021'!Q23</f>
        <v>0</v>
      </c>
      <c r="R48" s="14">
        <f>R23*'2021'!R23</f>
        <v>0</v>
      </c>
      <c r="S48" s="14">
        <f>S23*'2021'!S23</f>
        <v>0</v>
      </c>
      <c r="T48" s="14">
        <f>T23*'2021'!T23</f>
        <v>5.2801359999999997</v>
      </c>
      <c r="U48" s="14">
        <f>U23*'2021'!U23</f>
        <v>0</v>
      </c>
      <c r="V48" s="14">
        <f>V23*'2021'!V23</f>
        <v>0</v>
      </c>
      <c r="W48" s="14">
        <f>W23*'2021'!W23</f>
        <v>0</v>
      </c>
      <c r="X48" s="14">
        <f>X23*'2021'!X23</f>
        <v>0</v>
      </c>
      <c r="Y48" s="14">
        <f>Y23*'2021'!Y23</f>
        <v>0</v>
      </c>
      <c r="Z48" s="14">
        <f>Z23*'2021'!Z23</f>
        <v>0</v>
      </c>
      <c r="AA48" s="14">
        <f>AA23*'2021'!AA23</f>
        <v>0.74085299999999954</v>
      </c>
      <c r="AB48" s="14">
        <f>AB23*'2021'!AB23</f>
        <v>0</v>
      </c>
      <c r="AC48" s="14">
        <f>AC23*'2021'!AC23</f>
        <v>1.0681564000000003</v>
      </c>
      <c r="AD48" s="14">
        <f>AD23*'2021'!AD23</f>
        <v>0</v>
      </c>
      <c r="AE48" s="14">
        <f>AE23*'2021'!AE23</f>
        <v>-4.1932961999999989</v>
      </c>
      <c r="AF48" s="14">
        <f>AF23*'2021'!AF23</f>
        <v>0</v>
      </c>
      <c r="AG48" s="14">
        <f>AG23*'2021'!AG23</f>
        <v>0</v>
      </c>
      <c r="AH48" s="14">
        <f>AH23*'2021'!AH23</f>
        <v>0</v>
      </c>
      <c r="AI48" s="14">
        <f>AI23*'2021'!AI23</f>
        <v>0</v>
      </c>
      <c r="AJ48" s="15">
        <f t="shared" si="7"/>
        <v>2.8958492000000007</v>
      </c>
      <c r="AK48" s="13">
        <f t="shared" si="8"/>
        <v>0.19305661333333338</v>
      </c>
      <c r="AL48" s="13">
        <f>AK48-'2021_all'!AK48</f>
        <v>0.19893486552918457</v>
      </c>
    </row>
    <row r="49" spans="2:38" x14ac:dyDescent="0.25">
      <c r="B49" t="str">
        <f t="shared" si="6"/>
        <v>10100</v>
      </c>
      <c r="D49" s="14">
        <f>D24*'2021'!D24</f>
        <v>0</v>
      </c>
      <c r="E49" s="14">
        <f>E24*'2021'!E24</f>
        <v>0</v>
      </c>
      <c r="F49" s="14">
        <f>F24*'2021'!F24</f>
        <v>0</v>
      </c>
      <c r="G49" s="14">
        <f>G24*'2021'!G24</f>
        <v>0</v>
      </c>
      <c r="H49" s="14">
        <f>H24*'2021'!H24</f>
        <v>0</v>
      </c>
      <c r="I49" s="14">
        <f>I24*'2021'!I24</f>
        <v>0</v>
      </c>
      <c r="J49" s="14">
        <f>J24*'2021'!J24</f>
        <v>0</v>
      </c>
      <c r="K49" s="14">
        <f>K24*'2021'!K24</f>
        <v>0</v>
      </c>
      <c r="L49" s="14">
        <f>L24*'2021'!L24</f>
        <v>0</v>
      </c>
      <c r="M49" s="14">
        <f>M24*'2021'!M24</f>
        <v>0</v>
      </c>
      <c r="N49" s="14">
        <f>N24*'2021'!N24</f>
        <v>0</v>
      </c>
      <c r="O49" s="14">
        <f>O24*'2021'!O24</f>
        <v>0</v>
      </c>
      <c r="P49" s="14">
        <f>P24*'2021'!P24</f>
        <v>0</v>
      </c>
      <c r="Q49" s="14">
        <f>Q24*'2021'!Q24</f>
        <v>0</v>
      </c>
      <c r="R49" s="14">
        <f>R24*'2021'!R24</f>
        <v>0</v>
      </c>
      <c r="S49" s="14">
        <f>S24*'2021'!S24</f>
        <v>0</v>
      </c>
      <c r="T49" s="14">
        <f>T24*'2021'!T24</f>
        <v>0</v>
      </c>
      <c r="U49" s="14">
        <f>U24*'2021'!U24</f>
        <v>2.5628795999999996</v>
      </c>
      <c r="V49" s="14">
        <f>V24*'2021'!V24</f>
        <v>0.94320629999999994</v>
      </c>
      <c r="W49" s="14">
        <f>W24*'2021'!W24</f>
        <v>0</v>
      </c>
      <c r="X49" s="14">
        <f>X24*'2021'!X24</f>
        <v>0</v>
      </c>
      <c r="Y49" s="14">
        <f>Y24*'2021'!Y24</f>
        <v>0</v>
      </c>
      <c r="Z49" s="14">
        <f>Z24*'2021'!Z24</f>
        <v>0</v>
      </c>
      <c r="AA49" s="14">
        <f>AA24*'2021'!AA24</f>
        <v>0</v>
      </c>
      <c r="AB49" s="14">
        <f>AB24*'2021'!AB24</f>
        <v>0</v>
      </c>
      <c r="AC49" s="14">
        <f>AC24*'2021'!AC24</f>
        <v>0</v>
      </c>
      <c r="AD49" s="14">
        <f>AD24*'2021'!AD24</f>
        <v>0</v>
      </c>
      <c r="AE49" s="14">
        <f>AE24*'2021'!AE24</f>
        <v>0</v>
      </c>
      <c r="AF49" s="14">
        <f>AF24*'2021'!AF24</f>
        <v>-1.1461809000000001</v>
      </c>
      <c r="AG49" s="14">
        <f>AG24*'2021'!AG24</f>
        <v>0</v>
      </c>
      <c r="AH49" s="14">
        <f>AH24*'2021'!AH24</f>
        <v>0</v>
      </c>
      <c r="AI49" s="14">
        <f>AI24*'2021'!AI24</f>
        <v>0</v>
      </c>
      <c r="AJ49" s="15">
        <f t="shared" si="7"/>
        <v>2.3599049999999995</v>
      </c>
      <c r="AK49" s="13">
        <f t="shared" si="8"/>
        <v>0.33712928571428563</v>
      </c>
      <c r="AL49" s="13">
        <f>AK49-'2021_all'!AK49</f>
        <v>0.34918539555162109</v>
      </c>
    </row>
    <row r="50" spans="2:38" x14ac:dyDescent="0.25">
      <c r="B50" t="str">
        <f t="shared" si="6"/>
        <v>10101</v>
      </c>
      <c r="D50" s="14">
        <f>D25*'2021'!D25</f>
        <v>0</v>
      </c>
      <c r="E50" s="14">
        <f>E25*'2021'!E25</f>
        <v>0</v>
      </c>
      <c r="F50" s="14">
        <f>F25*'2021'!F25</f>
        <v>0</v>
      </c>
      <c r="G50" s="14">
        <f>G25*'2021'!G25</f>
        <v>0</v>
      </c>
      <c r="H50" s="14">
        <f>H25*'2021'!H25</f>
        <v>0</v>
      </c>
      <c r="I50" s="14">
        <f>I25*'2021'!I25</f>
        <v>0</v>
      </c>
      <c r="J50" s="14">
        <f>J25*'2021'!J25</f>
        <v>0</v>
      </c>
      <c r="K50" s="14">
        <f>K25*'2021'!K25</f>
        <v>0</v>
      </c>
      <c r="L50" s="14">
        <f>L25*'2021'!L25</f>
        <v>0</v>
      </c>
      <c r="M50" s="14">
        <f>M25*'2021'!M25</f>
        <v>0</v>
      </c>
      <c r="N50" s="14">
        <f>N25*'2021'!N25</f>
        <v>0</v>
      </c>
      <c r="O50" s="14">
        <f>O25*'2021'!O25</f>
        <v>0</v>
      </c>
      <c r="P50" s="14">
        <f>P25*'2021'!P25</f>
        <v>0</v>
      </c>
      <c r="Q50" s="14">
        <f>Q25*'2021'!Q25</f>
        <v>0</v>
      </c>
      <c r="R50" s="14">
        <f>R25*'2021'!R25</f>
        <v>0</v>
      </c>
      <c r="S50" s="14">
        <f>S25*'2021'!S25</f>
        <v>0</v>
      </c>
      <c r="T50" s="14">
        <f>T25*'2021'!T25</f>
        <v>2.5887096999999999</v>
      </c>
      <c r="U50" s="14">
        <f>U25*'2021'!U25</f>
        <v>0</v>
      </c>
      <c r="V50" s="14">
        <f>V25*'2021'!V25</f>
        <v>0</v>
      </c>
      <c r="W50" s="14">
        <f>W25*'2021'!W25</f>
        <v>0</v>
      </c>
      <c r="X50" s="14">
        <f>X25*'2021'!X25</f>
        <v>0</v>
      </c>
      <c r="Y50" s="14">
        <f>Y25*'2021'!Y25</f>
        <v>0</v>
      </c>
      <c r="Z50" s="14">
        <f>Z25*'2021'!Z25</f>
        <v>0</v>
      </c>
      <c r="AA50" s="14">
        <f>AA25*'2021'!AA25</f>
        <v>0.63813640000000049</v>
      </c>
      <c r="AB50" s="14">
        <f>AB25*'2021'!AB25</f>
        <v>0</v>
      </c>
      <c r="AC50" s="14">
        <f>AC25*'2021'!AC25</f>
        <v>0</v>
      </c>
      <c r="AD50" s="14">
        <f>AD25*'2021'!AD25</f>
        <v>0</v>
      </c>
      <c r="AE50" s="14">
        <f>AE25*'2021'!AE25</f>
        <v>0</v>
      </c>
      <c r="AF50" s="14">
        <f>AF25*'2021'!AF25</f>
        <v>0</v>
      </c>
      <c r="AG50" s="14">
        <f>AG25*'2021'!AG25</f>
        <v>-3.1036805999999988</v>
      </c>
      <c r="AH50" s="14">
        <f>AH25*'2021'!AH25</f>
        <v>0</v>
      </c>
      <c r="AI50" s="14">
        <f>AI25*'2021'!AI25</f>
        <v>0</v>
      </c>
      <c r="AJ50" s="15">
        <f t="shared" si="7"/>
        <v>0.12316550000000159</v>
      </c>
      <c r="AK50" s="13">
        <f t="shared" si="8"/>
        <v>1.3685055555555733E-2</v>
      </c>
      <c r="AL50" s="13">
        <f>AK50-'2021_all'!AK50</f>
        <v>4.2237830249260609E-2</v>
      </c>
    </row>
    <row r="51" spans="2:38" x14ac:dyDescent="0.25">
      <c r="B51" t="str">
        <f t="shared" si="6"/>
        <v>10110</v>
      </c>
      <c r="D51" s="14">
        <f>D26*'2021'!D26</f>
        <v>0</v>
      </c>
      <c r="E51" s="14">
        <f>E26*'2021'!E26</f>
        <v>0</v>
      </c>
      <c r="F51" s="14">
        <f>F26*'2021'!F26</f>
        <v>0</v>
      </c>
      <c r="G51" s="14">
        <f>G26*'2021'!G26</f>
        <v>0</v>
      </c>
      <c r="H51" s="14">
        <f>H26*'2021'!H26</f>
        <v>0</v>
      </c>
      <c r="I51" s="14">
        <f>I26*'2021'!I26</f>
        <v>0</v>
      </c>
      <c r="J51" s="14">
        <f>J26*'2021'!J26</f>
        <v>0</v>
      </c>
      <c r="K51" s="14">
        <f>K26*'2021'!K26</f>
        <v>0</v>
      </c>
      <c r="L51" s="14">
        <f>L26*'2021'!L26</f>
        <v>0</v>
      </c>
      <c r="M51" s="14">
        <f>M26*'2021'!M26</f>
        <v>0</v>
      </c>
      <c r="N51" s="14">
        <f>N26*'2021'!N26</f>
        <v>0</v>
      </c>
      <c r="O51" s="14">
        <f>O26*'2021'!O26</f>
        <v>0</v>
      </c>
      <c r="P51" s="14">
        <f>P26*'2021'!P26</f>
        <v>0</v>
      </c>
      <c r="Q51" s="14">
        <f>Q26*'2021'!Q26</f>
        <v>0</v>
      </c>
      <c r="R51" s="14">
        <f>R26*'2021'!R26</f>
        <v>0</v>
      </c>
      <c r="S51" s="14">
        <f>S26*'2021'!S26</f>
        <v>0</v>
      </c>
      <c r="T51" s="14">
        <f>T26*'2021'!T26</f>
        <v>0</v>
      </c>
      <c r="U51" s="14">
        <f>U26*'2021'!U26</f>
        <v>0</v>
      </c>
      <c r="V51" s="14">
        <f>V26*'2021'!V26</f>
        <v>0</v>
      </c>
      <c r="W51" s="14">
        <f>W26*'2021'!W26</f>
        <v>0</v>
      </c>
      <c r="X51" s="14">
        <f>X26*'2021'!X26</f>
        <v>0</v>
      </c>
      <c r="Y51" s="14">
        <f>Y26*'2021'!Y26</f>
        <v>0.92063749999999978</v>
      </c>
      <c r="Z51" s="14">
        <f>Z26*'2021'!Z26</f>
        <v>0</v>
      </c>
      <c r="AA51" s="14">
        <f>AA26*'2021'!AA26</f>
        <v>0</v>
      </c>
      <c r="AB51" s="14">
        <f>AB26*'2021'!AB26</f>
        <v>0</v>
      </c>
      <c r="AC51" s="14">
        <f>AC26*'2021'!AC26</f>
        <v>0</v>
      </c>
      <c r="AD51" s="14">
        <f>AD26*'2021'!AD26</f>
        <v>0</v>
      </c>
      <c r="AE51" s="14">
        <f>AE26*'2021'!AE26</f>
        <v>0</v>
      </c>
      <c r="AF51" s="14">
        <f>AF26*'2021'!AF26</f>
        <v>0</v>
      </c>
      <c r="AG51" s="14">
        <f>AG26*'2021'!AG26</f>
        <v>0</v>
      </c>
      <c r="AH51" s="14">
        <f>AH26*'2021'!AH26</f>
        <v>-1.1932852</v>
      </c>
      <c r="AI51" s="14">
        <f>AI26*'2021'!AI26</f>
        <v>0</v>
      </c>
      <c r="AJ51" s="15">
        <f t="shared" si="7"/>
        <v>-0.27264770000000027</v>
      </c>
      <c r="AK51" s="13">
        <f t="shared" si="8"/>
        <v>-9.0882566666666761E-2</v>
      </c>
      <c r="AL51" s="13">
        <f>AK51-'2021_all'!AK51</f>
        <v>-7.7661894102703799E-2</v>
      </c>
    </row>
    <row r="52" spans="2:38" x14ac:dyDescent="0.25">
      <c r="B52" t="str">
        <f t="shared" si="6"/>
        <v>10111</v>
      </c>
      <c r="D52" s="14">
        <f>D27*'2021'!D27</f>
        <v>0</v>
      </c>
      <c r="E52" s="14">
        <f>E27*'2021'!E27</f>
        <v>0</v>
      </c>
      <c r="F52" s="14">
        <f>F27*'2021'!F27</f>
        <v>0</v>
      </c>
      <c r="G52" s="14">
        <f>G27*'2021'!G27</f>
        <v>0</v>
      </c>
      <c r="H52" s="14">
        <f>H27*'2021'!H27</f>
        <v>0</v>
      </c>
      <c r="I52" s="14">
        <f>I27*'2021'!I27</f>
        <v>0</v>
      </c>
      <c r="J52" s="14">
        <f>J27*'2021'!J27</f>
        <v>0</v>
      </c>
      <c r="K52" s="14">
        <f>K27*'2021'!K27</f>
        <v>0</v>
      </c>
      <c r="L52" s="14">
        <f>L27*'2021'!L27</f>
        <v>0</v>
      </c>
      <c r="M52" s="14">
        <f>M27*'2021'!M27</f>
        <v>0</v>
      </c>
      <c r="N52" s="14">
        <f>N27*'2021'!N27</f>
        <v>0</v>
      </c>
      <c r="O52" s="14">
        <f>O27*'2021'!O27</f>
        <v>0</v>
      </c>
      <c r="P52" s="14">
        <f>P27*'2021'!P27</f>
        <v>0</v>
      </c>
      <c r="Q52" s="14">
        <f>Q27*'2021'!Q27</f>
        <v>0</v>
      </c>
      <c r="R52" s="14">
        <f>R27*'2021'!R27</f>
        <v>0</v>
      </c>
      <c r="S52" s="14">
        <f>S27*'2021'!S27</f>
        <v>0</v>
      </c>
      <c r="T52" s="14">
        <f>T27*'2021'!T27</f>
        <v>0</v>
      </c>
      <c r="U52" s="14">
        <f>U27*'2021'!U27</f>
        <v>0</v>
      </c>
      <c r="V52" s="14">
        <f>V27*'2021'!V27</f>
        <v>0</v>
      </c>
      <c r="W52" s="14">
        <f>W27*'2021'!W27</f>
        <v>0</v>
      </c>
      <c r="X52" s="14">
        <f>X27*'2021'!X27</f>
        <v>0</v>
      </c>
      <c r="Y52" s="14">
        <f>Y27*'2021'!Y27</f>
        <v>1.6809317999999998</v>
      </c>
      <c r="Z52" s="14">
        <f>Z27*'2021'!Z27</f>
        <v>0</v>
      </c>
      <c r="AA52" s="14">
        <f>AA27*'2021'!AA27</f>
        <v>1</v>
      </c>
      <c r="AB52" s="14">
        <f>AB27*'2021'!AB27</f>
        <v>0</v>
      </c>
      <c r="AC52" s="14">
        <f>AC27*'2021'!AC27</f>
        <v>0</v>
      </c>
      <c r="AD52" s="14">
        <f>AD27*'2021'!AD27</f>
        <v>0</v>
      </c>
      <c r="AE52" s="14">
        <f>AE27*'2021'!AE27</f>
        <v>0</v>
      </c>
      <c r="AF52" s="14">
        <f>AF27*'2021'!AF27</f>
        <v>0</v>
      </c>
      <c r="AG52" s="14">
        <f>AG27*'2021'!AG27</f>
        <v>0</v>
      </c>
      <c r="AH52" s="14">
        <f>AH27*'2021'!AH27</f>
        <v>0</v>
      </c>
      <c r="AI52" s="14">
        <f>AI27*'2021'!AI27</f>
        <v>-2.5090449000000001</v>
      </c>
      <c r="AJ52" s="15">
        <f t="shared" si="7"/>
        <v>0.17188689999999962</v>
      </c>
      <c r="AK52" s="13">
        <f t="shared" si="8"/>
        <v>3.4377379999999923E-2</v>
      </c>
      <c r="AL52" s="13">
        <f>AK52-'2021_all'!AK52</f>
        <v>5.2450470948070621E-2</v>
      </c>
    </row>
  </sheetData>
  <conditionalFormatting sqref="AK29:AK52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K52"/>
  <sheetViews>
    <sheetView topLeftCell="H1" zoomScale="70" zoomScaleNormal="70" workbookViewId="0">
      <selection activeCell="AJ3" sqref="AJ3"/>
    </sheetView>
  </sheetViews>
  <sheetFormatPr defaultRowHeight="15" x14ac:dyDescent="0.25"/>
  <cols>
    <col min="2" max="2" width="7.42578125" customWidth="1"/>
    <col min="3" max="3" width="3" bestFit="1" customWidth="1"/>
    <col min="4" max="6" width="7.7109375" customWidth="1"/>
    <col min="7" max="7" width="7.28515625" customWidth="1"/>
    <col min="8" max="8" width="6" customWidth="1"/>
    <col min="9" max="9" width="6.42578125" customWidth="1"/>
    <col min="10" max="11" width="6.85546875" customWidth="1"/>
    <col min="12" max="12" width="9.140625" customWidth="1"/>
    <col min="13" max="13" width="8.28515625" customWidth="1"/>
    <col min="14" max="15" width="7.85546875" customWidth="1"/>
    <col min="16" max="18" width="7.42578125" customWidth="1"/>
    <col min="19" max="19" width="7.85546875" customWidth="1"/>
    <col min="20" max="20" width="9.140625" customWidth="1"/>
    <col min="21" max="21" width="8.28515625" customWidth="1"/>
    <col min="22" max="23" width="7.42578125" customWidth="1"/>
    <col min="24" max="26" width="7.85546875" customWidth="1"/>
    <col min="27" max="27" width="7.42578125" customWidth="1"/>
    <col min="28" max="31" width="8.7109375" customWidth="1"/>
    <col min="32" max="34" width="7.85546875" customWidth="1"/>
    <col min="35" max="35" width="8.28515625" customWidth="1"/>
    <col min="36" max="36" width="11.5703125" customWidth="1"/>
    <col min="37" max="37" width="7.85546875" bestFit="1" customWidth="1"/>
  </cols>
  <sheetData>
    <row r="2" spans="2:36" ht="31.5" x14ac:dyDescent="0.25">
      <c r="D2" s="12" t="str">
        <f>DEC2BIN(D3,5)</f>
        <v>00000</v>
      </c>
      <c r="E2" s="12" t="str">
        <f t="shared" ref="E2:AI2" si="0">DEC2BIN(E3,5)</f>
        <v>00001</v>
      </c>
      <c r="F2" s="12" t="str">
        <f t="shared" si="0"/>
        <v>00010</v>
      </c>
      <c r="G2" s="12" t="str">
        <f t="shared" si="0"/>
        <v>00011</v>
      </c>
      <c r="H2" s="12" t="str">
        <f t="shared" si="0"/>
        <v>00100</v>
      </c>
      <c r="I2" s="12" t="str">
        <f t="shared" si="0"/>
        <v>00101</v>
      </c>
      <c r="J2" s="12" t="str">
        <f t="shared" si="0"/>
        <v>00110</v>
      </c>
      <c r="K2" s="12" t="str">
        <f t="shared" si="0"/>
        <v>00111</v>
      </c>
      <c r="L2" s="12" t="str">
        <f t="shared" si="0"/>
        <v>01000</v>
      </c>
      <c r="M2" s="12" t="str">
        <f t="shared" si="0"/>
        <v>01001</v>
      </c>
      <c r="N2" s="12" t="str">
        <f t="shared" si="0"/>
        <v>01010</v>
      </c>
      <c r="O2" s="12" t="str">
        <f t="shared" si="0"/>
        <v>01011</v>
      </c>
      <c r="P2" s="12" t="str">
        <f t="shared" si="0"/>
        <v>01100</v>
      </c>
      <c r="Q2" s="12" t="str">
        <f t="shared" si="0"/>
        <v>01101</v>
      </c>
      <c r="R2" s="12" t="str">
        <f t="shared" si="0"/>
        <v>01110</v>
      </c>
      <c r="S2" s="12" t="str">
        <f t="shared" si="0"/>
        <v>01111</v>
      </c>
      <c r="T2" s="12" t="str">
        <f t="shared" si="0"/>
        <v>10000</v>
      </c>
      <c r="U2" s="12" t="str">
        <f t="shared" si="0"/>
        <v>10001</v>
      </c>
      <c r="V2" s="12" t="str">
        <f t="shared" si="0"/>
        <v>10010</v>
      </c>
      <c r="W2" s="12" t="str">
        <f t="shared" si="0"/>
        <v>10011</v>
      </c>
      <c r="X2" s="12" t="str">
        <f t="shared" si="0"/>
        <v>10100</v>
      </c>
      <c r="Y2" s="12" t="str">
        <f t="shared" si="0"/>
        <v>10101</v>
      </c>
      <c r="Z2" s="12" t="str">
        <f t="shared" si="0"/>
        <v>10110</v>
      </c>
      <c r="AA2" s="12" t="str">
        <f t="shared" si="0"/>
        <v>10111</v>
      </c>
      <c r="AB2" s="12" t="str">
        <f t="shared" si="0"/>
        <v>11000</v>
      </c>
      <c r="AC2" s="12" t="str">
        <f t="shared" si="0"/>
        <v>11001</v>
      </c>
      <c r="AD2" s="12" t="str">
        <f t="shared" si="0"/>
        <v>11010</v>
      </c>
      <c r="AE2" s="12" t="str">
        <f t="shared" si="0"/>
        <v>11011</v>
      </c>
      <c r="AF2" s="12" t="str">
        <f t="shared" si="0"/>
        <v>11100</v>
      </c>
      <c r="AG2" s="12" t="str">
        <f t="shared" si="0"/>
        <v>11101</v>
      </c>
      <c r="AH2" s="12" t="str">
        <f t="shared" si="0"/>
        <v>11110</v>
      </c>
      <c r="AI2" s="12" t="str">
        <f t="shared" si="0"/>
        <v>11111</v>
      </c>
    </row>
    <row r="3" spans="2:36" x14ac:dyDescent="0.25">
      <c r="D3">
        <f>COLUMN()-4</f>
        <v>0</v>
      </c>
      <c r="E3">
        <f t="shared" ref="E3:AI3" si="1">COLUMN()-4</f>
        <v>1</v>
      </c>
      <c r="F3">
        <f t="shared" si="1"/>
        <v>2</v>
      </c>
      <c r="G3">
        <f t="shared" si="1"/>
        <v>3</v>
      </c>
      <c r="H3">
        <f t="shared" si="1"/>
        <v>4</v>
      </c>
      <c r="I3">
        <f t="shared" si="1"/>
        <v>5</v>
      </c>
      <c r="J3">
        <f t="shared" si="1"/>
        <v>6</v>
      </c>
      <c r="K3">
        <f t="shared" si="1"/>
        <v>7</v>
      </c>
      <c r="L3">
        <f t="shared" si="1"/>
        <v>8</v>
      </c>
      <c r="M3">
        <f t="shared" si="1"/>
        <v>9</v>
      </c>
      <c r="N3">
        <f t="shared" si="1"/>
        <v>10</v>
      </c>
      <c r="O3">
        <f t="shared" si="1"/>
        <v>11</v>
      </c>
      <c r="P3">
        <f t="shared" si="1"/>
        <v>12</v>
      </c>
      <c r="Q3">
        <f t="shared" si="1"/>
        <v>13</v>
      </c>
      <c r="R3">
        <f t="shared" si="1"/>
        <v>14</v>
      </c>
      <c r="S3">
        <f t="shared" si="1"/>
        <v>15</v>
      </c>
      <c r="T3">
        <f t="shared" si="1"/>
        <v>16</v>
      </c>
      <c r="U3">
        <f t="shared" si="1"/>
        <v>17</v>
      </c>
      <c r="V3">
        <f t="shared" si="1"/>
        <v>18</v>
      </c>
      <c r="W3">
        <f t="shared" si="1"/>
        <v>19</v>
      </c>
      <c r="X3">
        <f t="shared" si="1"/>
        <v>20</v>
      </c>
      <c r="Y3">
        <f t="shared" si="1"/>
        <v>21</v>
      </c>
      <c r="Z3">
        <f t="shared" si="1"/>
        <v>22</v>
      </c>
      <c r="AA3">
        <f t="shared" si="1"/>
        <v>23</v>
      </c>
      <c r="AB3">
        <f t="shared" si="1"/>
        <v>24</v>
      </c>
      <c r="AC3">
        <f t="shared" si="1"/>
        <v>25</v>
      </c>
      <c r="AD3">
        <f t="shared" si="1"/>
        <v>26</v>
      </c>
      <c r="AE3">
        <f t="shared" si="1"/>
        <v>27</v>
      </c>
      <c r="AF3">
        <f t="shared" si="1"/>
        <v>28</v>
      </c>
      <c r="AG3">
        <f t="shared" si="1"/>
        <v>29</v>
      </c>
      <c r="AH3">
        <f t="shared" si="1"/>
        <v>30</v>
      </c>
      <c r="AI3">
        <f t="shared" si="1"/>
        <v>31</v>
      </c>
      <c r="AJ3">
        <f>SUM(AJ4:AJ27)</f>
        <v>181818</v>
      </c>
    </row>
    <row r="4" spans="2:36" x14ac:dyDescent="0.25">
      <c r="B4" t="str">
        <f>DEC2BIN(C4,5)</f>
        <v>00000</v>
      </c>
      <c r="C4">
        <f>ROW()-4</f>
        <v>0</v>
      </c>
      <c r="D4">
        <v>1565</v>
      </c>
      <c r="E4">
        <v>10334</v>
      </c>
      <c r="F4">
        <v>2097</v>
      </c>
      <c r="G4">
        <v>0</v>
      </c>
      <c r="H4">
        <v>184</v>
      </c>
      <c r="I4">
        <v>0</v>
      </c>
      <c r="J4">
        <v>0</v>
      </c>
      <c r="K4">
        <v>0</v>
      </c>
      <c r="L4">
        <v>30119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f>SUM(D4:AI4)</f>
        <v>44299</v>
      </c>
    </row>
    <row r="5" spans="2:36" x14ac:dyDescent="0.25">
      <c r="B5" t="str">
        <f t="shared" ref="B5:B27" si="2">DEC2BIN(C5,5)</f>
        <v>00001</v>
      </c>
      <c r="C5">
        <f t="shared" ref="C5:C27" si="3">ROW()-4</f>
        <v>1</v>
      </c>
      <c r="D5">
        <v>352</v>
      </c>
      <c r="E5">
        <v>1</v>
      </c>
      <c r="F5">
        <v>120</v>
      </c>
      <c r="G5">
        <v>2046</v>
      </c>
      <c r="H5">
        <v>55</v>
      </c>
      <c r="I5">
        <v>359</v>
      </c>
      <c r="J5">
        <v>360</v>
      </c>
      <c r="K5">
        <v>0</v>
      </c>
      <c r="L5">
        <v>3</v>
      </c>
      <c r="M5">
        <v>4694</v>
      </c>
      <c r="N5">
        <v>787</v>
      </c>
      <c r="O5">
        <v>0</v>
      </c>
      <c r="P5">
        <v>14</v>
      </c>
      <c r="Q5">
        <v>0</v>
      </c>
      <c r="R5">
        <v>0</v>
      </c>
      <c r="S5">
        <v>0</v>
      </c>
      <c r="T5">
        <v>1104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f t="shared" ref="AJ5:AJ27" si="4">SUM(D5:AI5)</f>
        <v>9895</v>
      </c>
    </row>
    <row r="6" spans="2:36" x14ac:dyDescent="0.25">
      <c r="B6" t="str">
        <f t="shared" si="2"/>
        <v>00010</v>
      </c>
      <c r="C6">
        <f t="shared" si="3"/>
        <v>2</v>
      </c>
      <c r="D6">
        <v>94</v>
      </c>
      <c r="E6">
        <v>167</v>
      </c>
      <c r="F6">
        <v>174</v>
      </c>
      <c r="G6">
        <v>431</v>
      </c>
      <c r="H6">
        <v>19</v>
      </c>
      <c r="I6">
        <v>331</v>
      </c>
      <c r="J6">
        <v>17</v>
      </c>
      <c r="K6">
        <v>0</v>
      </c>
      <c r="L6">
        <v>6</v>
      </c>
      <c r="M6">
        <v>42</v>
      </c>
      <c r="N6">
        <v>1518</v>
      </c>
      <c r="O6">
        <v>0</v>
      </c>
      <c r="P6">
        <v>747</v>
      </c>
      <c r="Q6">
        <v>0</v>
      </c>
      <c r="R6">
        <v>0</v>
      </c>
      <c r="S6">
        <v>0</v>
      </c>
      <c r="T6">
        <v>16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f t="shared" si="4"/>
        <v>3562</v>
      </c>
    </row>
    <row r="7" spans="2:36" x14ac:dyDescent="0.25">
      <c r="B7" t="str">
        <f t="shared" si="2"/>
        <v>00011</v>
      </c>
      <c r="C7">
        <f t="shared" si="3"/>
        <v>3</v>
      </c>
      <c r="D7">
        <v>96</v>
      </c>
      <c r="E7">
        <v>0</v>
      </c>
      <c r="F7">
        <v>29</v>
      </c>
      <c r="G7">
        <v>96</v>
      </c>
      <c r="H7">
        <v>13</v>
      </c>
      <c r="I7">
        <v>69</v>
      </c>
      <c r="J7">
        <v>103</v>
      </c>
      <c r="K7">
        <v>479</v>
      </c>
      <c r="L7">
        <v>4</v>
      </c>
      <c r="M7">
        <v>8</v>
      </c>
      <c r="N7">
        <v>6</v>
      </c>
      <c r="O7">
        <v>943</v>
      </c>
      <c r="P7">
        <v>4</v>
      </c>
      <c r="Q7">
        <v>276</v>
      </c>
      <c r="R7">
        <v>235</v>
      </c>
      <c r="S7">
        <v>0</v>
      </c>
      <c r="T7">
        <v>0</v>
      </c>
      <c r="U7">
        <v>27</v>
      </c>
      <c r="V7">
        <v>22</v>
      </c>
      <c r="W7">
        <v>0</v>
      </c>
      <c r="X7">
        <v>209</v>
      </c>
      <c r="Y7">
        <v>0</v>
      </c>
      <c r="Z7">
        <v>0</v>
      </c>
      <c r="AA7">
        <v>0</v>
      </c>
      <c r="AB7">
        <v>3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f t="shared" si="4"/>
        <v>2622</v>
      </c>
    </row>
    <row r="8" spans="2:36" x14ac:dyDescent="0.25">
      <c r="B8" t="str">
        <f t="shared" si="2"/>
        <v>00100</v>
      </c>
      <c r="C8">
        <f t="shared" si="3"/>
        <v>4</v>
      </c>
      <c r="D8">
        <v>15</v>
      </c>
      <c r="E8">
        <v>74</v>
      </c>
      <c r="F8">
        <v>19</v>
      </c>
      <c r="G8">
        <v>0</v>
      </c>
      <c r="H8">
        <v>4</v>
      </c>
      <c r="I8">
        <v>60</v>
      </c>
      <c r="J8">
        <v>0</v>
      </c>
      <c r="K8">
        <v>0</v>
      </c>
      <c r="L8">
        <v>87</v>
      </c>
      <c r="M8">
        <v>2</v>
      </c>
      <c r="N8">
        <v>0</v>
      </c>
      <c r="O8">
        <v>0</v>
      </c>
      <c r="P8">
        <v>189</v>
      </c>
      <c r="Q8">
        <v>0</v>
      </c>
      <c r="R8">
        <v>0</v>
      </c>
      <c r="S8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f t="shared" si="4"/>
        <v>452</v>
      </c>
    </row>
    <row r="9" spans="2:36" x14ac:dyDescent="0.25">
      <c r="B9" t="str">
        <f t="shared" si="2"/>
        <v>00101</v>
      </c>
      <c r="C9">
        <f t="shared" si="3"/>
        <v>5</v>
      </c>
      <c r="D9">
        <v>28</v>
      </c>
      <c r="E9">
        <v>0</v>
      </c>
      <c r="F9">
        <v>13</v>
      </c>
      <c r="G9">
        <v>130</v>
      </c>
      <c r="H9">
        <v>5</v>
      </c>
      <c r="I9">
        <v>38</v>
      </c>
      <c r="J9">
        <v>28</v>
      </c>
      <c r="K9">
        <v>67</v>
      </c>
      <c r="L9">
        <v>0</v>
      </c>
      <c r="M9">
        <v>133</v>
      </c>
      <c r="N9">
        <v>54</v>
      </c>
      <c r="O9">
        <v>19</v>
      </c>
      <c r="P9">
        <v>4</v>
      </c>
      <c r="Q9">
        <v>256</v>
      </c>
      <c r="R9">
        <v>36</v>
      </c>
      <c r="S9">
        <v>0</v>
      </c>
      <c r="T9">
        <v>56</v>
      </c>
      <c r="U9">
        <v>5</v>
      </c>
      <c r="V9">
        <v>4</v>
      </c>
      <c r="W9">
        <v>0</v>
      </c>
      <c r="X9">
        <v>8</v>
      </c>
      <c r="Y9">
        <v>0</v>
      </c>
      <c r="Z9">
        <v>0</v>
      </c>
      <c r="AA9">
        <v>0</v>
      </c>
      <c r="AB9">
        <v>1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f t="shared" si="4"/>
        <v>885</v>
      </c>
    </row>
    <row r="10" spans="2:36" x14ac:dyDescent="0.25">
      <c r="B10" t="str">
        <f t="shared" si="2"/>
        <v>00110</v>
      </c>
      <c r="C10">
        <f t="shared" si="3"/>
        <v>6</v>
      </c>
      <c r="D10">
        <v>21</v>
      </c>
      <c r="E10">
        <v>46</v>
      </c>
      <c r="F10">
        <v>37</v>
      </c>
      <c r="G10">
        <v>5</v>
      </c>
      <c r="H10">
        <v>6</v>
      </c>
      <c r="I10">
        <v>58</v>
      </c>
      <c r="J10">
        <v>7</v>
      </c>
      <c r="K10">
        <v>87</v>
      </c>
      <c r="L10">
        <v>2</v>
      </c>
      <c r="M10">
        <v>2</v>
      </c>
      <c r="N10">
        <v>50</v>
      </c>
      <c r="O10">
        <v>2</v>
      </c>
      <c r="P10">
        <v>81</v>
      </c>
      <c r="Q10">
        <v>6</v>
      </c>
      <c r="R10">
        <v>251</v>
      </c>
      <c r="S10">
        <v>0</v>
      </c>
      <c r="T10">
        <v>1</v>
      </c>
      <c r="U10">
        <v>0</v>
      </c>
      <c r="V10">
        <v>2</v>
      </c>
      <c r="W10">
        <v>0</v>
      </c>
      <c r="X10">
        <v>2</v>
      </c>
      <c r="Y10">
        <v>0</v>
      </c>
      <c r="Z10">
        <v>0</v>
      </c>
      <c r="AA10">
        <v>0</v>
      </c>
      <c r="AB10">
        <v>1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f t="shared" si="4"/>
        <v>667</v>
      </c>
    </row>
    <row r="11" spans="2:36" x14ac:dyDescent="0.25">
      <c r="B11" t="str">
        <f t="shared" si="2"/>
        <v>00111</v>
      </c>
      <c r="C11">
        <f t="shared" si="3"/>
        <v>7</v>
      </c>
      <c r="D11">
        <v>29</v>
      </c>
      <c r="E11">
        <v>0</v>
      </c>
      <c r="F11">
        <v>5</v>
      </c>
      <c r="G11">
        <v>34</v>
      </c>
      <c r="H11">
        <v>5</v>
      </c>
      <c r="I11">
        <v>22</v>
      </c>
      <c r="J11">
        <v>28</v>
      </c>
      <c r="K11">
        <v>144</v>
      </c>
      <c r="L11">
        <v>1</v>
      </c>
      <c r="M11">
        <v>4</v>
      </c>
      <c r="N11">
        <v>1</v>
      </c>
      <c r="O11">
        <v>37</v>
      </c>
      <c r="P11">
        <v>2</v>
      </c>
      <c r="Q11">
        <v>67</v>
      </c>
      <c r="R11">
        <v>36</v>
      </c>
      <c r="S11">
        <v>286</v>
      </c>
      <c r="T11">
        <v>0</v>
      </c>
      <c r="U11">
        <v>2</v>
      </c>
      <c r="V11">
        <v>1</v>
      </c>
      <c r="W11">
        <v>2</v>
      </c>
      <c r="X11">
        <v>39</v>
      </c>
      <c r="Y11">
        <v>4</v>
      </c>
      <c r="Z11">
        <v>10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f t="shared" si="4"/>
        <v>759</v>
      </c>
    </row>
    <row r="12" spans="2:36" x14ac:dyDescent="0.25">
      <c r="B12" t="str">
        <f t="shared" si="2"/>
        <v>01000</v>
      </c>
      <c r="C12">
        <f t="shared" si="3"/>
        <v>8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1037</v>
      </c>
      <c r="M12">
        <v>7447</v>
      </c>
      <c r="N12">
        <v>1394</v>
      </c>
      <c r="O12">
        <v>0</v>
      </c>
      <c r="P12">
        <v>116</v>
      </c>
      <c r="Q12">
        <v>0</v>
      </c>
      <c r="R12">
        <v>0</v>
      </c>
      <c r="S12">
        <v>0</v>
      </c>
      <c r="T12">
        <v>22301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f t="shared" si="4"/>
        <v>32295</v>
      </c>
    </row>
    <row r="13" spans="2:36" x14ac:dyDescent="0.25">
      <c r="B13" t="str">
        <f t="shared" si="2"/>
        <v>01001</v>
      </c>
      <c r="C13">
        <f t="shared" si="3"/>
        <v>9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410</v>
      </c>
      <c r="M13">
        <v>3</v>
      </c>
      <c r="N13">
        <v>174</v>
      </c>
      <c r="O13">
        <v>2390</v>
      </c>
      <c r="P13">
        <v>67</v>
      </c>
      <c r="Q13">
        <v>430</v>
      </c>
      <c r="R13">
        <v>403</v>
      </c>
      <c r="S13">
        <v>0</v>
      </c>
      <c r="T13">
        <v>5</v>
      </c>
      <c r="U13">
        <v>5743</v>
      </c>
      <c r="V13">
        <v>874</v>
      </c>
      <c r="W13">
        <v>0</v>
      </c>
      <c r="X13">
        <v>24</v>
      </c>
      <c r="Y13">
        <v>0</v>
      </c>
      <c r="Z13">
        <v>0</v>
      </c>
      <c r="AA13">
        <v>0</v>
      </c>
      <c r="AB13">
        <v>1386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f t="shared" si="4"/>
        <v>11909</v>
      </c>
    </row>
    <row r="14" spans="2:36" x14ac:dyDescent="0.25">
      <c r="B14" t="str">
        <f t="shared" si="2"/>
        <v>01010</v>
      </c>
      <c r="C14">
        <f t="shared" si="3"/>
        <v>10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149</v>
      </c>
      <c r="M14">
        <v>294</v>
      </c>
      <c r="N14">
        <v>238</v>
      </c>
      <c r="O14">
        <v>662</v>
      </c>
      <c r="P14">
        <v>25</v>
      </c>
      <c r="Q14">
        <v>314</v>
      </c>
      <c r="R14">
        <v>17</v>
      </c>
      <c r="S14">
        <v>0</v>
      </c>
      <c r="T14">
        <v>16</v>
      </c>
      <c r="U14">
        <v>38</v>
      </c>
      <c r="V14">
        <v>2349</v>
      </c>
      <c r="W14">
        <v>0</v>
      </c>
      <c r="X14">
        <v>873</v>
      </c>
      <c r="Y14">
        <v>0</v>
      </c>
      <c r="Z14">
        <v>0</v>
      </c>
      <c r="AA14">
        <v>0</v>
      </c>
      <c r="AB14">
        <v>33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f t="shared" si="4"/>
        <v>5008</v>
      </c>
    </row>
    <row r="15" spans="2:36" x14ac:dyDescent="0.25">
      <c r="B15" t="str">
        <f t="shared" si="2"/>
        <v>01011</v>
      </c>
      <c r="C15">
        <f t="shared" si="3"/>
        <v>11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131</v>
      </c>
      <c r="M15">
        <v>0</v>
      </c>
      <c r="N15">
        <v>48</v>
      </c>
      <c r="O15">
        <v>182</v>
      </c>
      <c r="P15">
        <v>23</v>
      </c>
      <c r="Q15">
        <v>122</v>
      </c>
      <c r="R15">
        <v>145</v>
      </c>
      <c r="S15">
        <v>705</v>
      </c>
      <c r="T15">
        <v>2</v>
      </c>
      <c r="U15">
        <v>14</v>
      </c>
      <c r="V15">
        <v>14</v>
      </c>
      <c r="W15">
        <v>1725</v>
      </c>
      <c r="X15">
        <v>11</v>
      </c>
      <c r="Y15">
        <v>432</v>
      </c>
      <c r="Z15">
        <v>268</v>
      </c>
      <c r="AA15">
        <v>0</v>
      </c>
      <c r="AB15">
        <v>0</v>
      </c>
      <c r="AC15">
        <v>58</v>
      </c>
      <c r="AD15">
        <v>411</v>
      </c>
      <c r="AE15">
        <v>0</v>
      </c>
      <c r="AF15">
        <v>1</v>
      </c>
      <c r="AG15">
        <v>0</v>
      </c>
      <c r="AH15">
        <v>0</v>
      </c>
      <c r="AI15">
        <v>0</v>
      </c>
      <c r="AJ15">
        <f t="shared" si="4"/>
        <v>4292</v>
      </c>
    </row>
    <row r="16" spans="2:36" x14ac:dyDescent="0.25">
      <c r="B16" t="str">
        <f t="shared" si="2"/>
        <v>01100</v>
      </c>
      <c r="C16">
        <f t="shared" si="3"/>
        <v>12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47</v>
      </c>
      <c r="M16">
        <v>263</v>
      </c>
      <c r="N16">
        <v>81</v>
      </c>
      <c r="O16">
        <v>0</v>
      </c>
      <c r="P16">
        <v>8</v>
      </c>
      <c r="Q16">
        <v>237</v>
      </c>
      <c r="R16">
        <v>0</v>
      </c>
      <c r="S16">
        <v>0</v>
      </c>
      <c r="T16">
        <v>319</v>
      </c>
      <c r="U16">
        <v>47</v>
      </c>
      <c r="V16">
        <v>7</v>
      </c>
      <c r="W16">
        <v>0</v>
      </c>
      <c r="X16">
        <v>579</v>
      </c>
      <c r="Y16">
        <v>0</v>
      </c>
      <c r="Z16">
        <v>0</v>
      </c>
      <c r="AA16">
        <v>0</v>
      </c>
      <c r="AB16">
        <v>12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f t="shared" si="4"/>
        <v>1600</v>
      </c>
    </row>
    <row r="17" spans="2:37" x14ac:dyDescent="0.25">
      <c r="B17" t="str">
        <f t="shared" si="2"/>
        <v>01101</v>
      </c>
      <c r="C17">
        <f t="shared" si="3"/>
        <v>13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61</v>
      </c>
      <c r="M17">
        <v>0</v>
      </c>
      <c r="N17">
        <v>22</v>
      </c>
      <c r="O17">
        <v>253</v>
      </c>
      <c r="P17">
        <v>9</v>
      </c>
      <c r="Q17">
        <v>54</v>
      </c>
      <c r="R17">
        <v>57</v>
      </c>
      <c r="S17">
        <v>156</v>
      </c>
      <c r="T17">
        <v>1</v>
      </c>
      <c r="U17">
        <v>299</v>
      </c>
      <c r="V17">
        <v>111</v>
      </c>
      <c r="W17">
        <v>22</v>
      </c>
      <c r="X17">
        <v>3</v>
      </c>
      <c r="Y17">
        <v>479</v>
      </c>
      <c r="Z17">
        <v>45</v>
      </c>
      <c r="AA17">
        <v>0</v>
      </c>
      <c r="AB17">
        <v>4</v>
      </c>
      <c r="AC17">
        <v>14</v>
      </c>
      <c r="AD17">
        <v>3</v>
      </c>
      <c r="AE17">
        <v>0</v>
      </c>
      <c r="AF17">
        <v>205</v>
      </c>
      <c r="AG17">
        <v>0</v>
      </c>
      <c r="AH17">
        <v>0</v>
      </c>
      <c r="AI17">
        <v>0</v>
      </c>
      <c r="AJ17">
        <f t="shared" si="4"/>
        <v>1798</v>
      </c>
    </row>
    <row r="18" spans="2:37" x14ac:dyDescent="0.25">
      <c r="B18" t="str">
        <f t="shared" si="2"/>
        <v>01110</v>
      </c>
      <c r="C18">
        <f t="shared" si="3"/>
        <v>14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36</v>
      </c>
      <c r="M18">
        <v>80</v>
      </c>
      <c r="N18">
        <v>75</v>
      </c>
      <c r="O18">
        <v>10</v>
      </c>
      <c r="P18">
        <v>5</v>
      </c>
      <c r="Q18">
        <v>133</v>
      </c>
      <c r="R18">
        <v>5</v>
      </c>
      <c r="S18">
        <v>260</v>
      </c>
      <c r="T18">
        <v>5</v>
      </c>
      <c r="U18">
        <v>3</v>
      </c>
      <c r="V18">
        <v>129</v>
      </c>
      <c r="W18">
        <v>18</v>
      </c>
      <c r="X18">
        <v>213</v>
      </c>
      <c r="Y18">
        <v>42</v>
      </c>
      <c r="Z18">
        <v>514</v>
      </c>
      <c r="AA18">
        <v>0</v>
      </c>
      <c r="AB18">
        <v>7</v>
      </c>
      <c r="AC18">
        <v>2</v>
      </c>
      <c r="AD18">
        <v>8</v>
      </c>
      <c r="AE18">
        <v>0</v>
      </c>
      <c r="AF18">
        <v>2</v>
      </c>
      <c r="AG18">
        <v>0</v>
      </c>
      <c r="AH18">
        <v>0</v>
      </c>
      <c r="AI18">
        <v>0</v>
      </c>
      <c r="AJ18">
        <f t="shared" si="4"/>
        <v>1547</v>
      </c>
    </row>
    <row r="19" spans="2:37" x14ac:dyDescent="0.25">
      <c r="B19" t="str">
        <f t="shared" si="2"/>
        <v>01111</v>
      </c>
      <c r="C19">
        <f t="shared" si="3"/>
        <v>15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48</v>
      </c>
      <c r="M19">
        <v>0</v>
      </c>
      <c r="N19">
        <v>26</v>
      </c>
      <c r="O19">
        <v>61</v>
      </c>
      <c r="P19">
        <v>10</v>
      </c>
      <c r="Q19">
        <v>48</v>
      </c>
      <c r="R19">
        <v>86</v>
      </c>
      <c r="S19">
        <v>304</v>
      </c>
      <c r="T19">
        <v>1</v>
      </c>
      <c r="U19">
        <v>2</v>
      </c>
      <c r="V19">
        <v>5</v>
      </c>
      <c r="W19">
        <v>113</v>
      </c>
      <c r="X19">
        <v>4</v>
      </c>
      <c r="Y19">
        <v>145</v>
      </c>
      <c r="Z19">
        <v>57</v>
      </c>
      <c r="AA19">
        <v>577</v>
      </c>
      <c r="AB19">
        <v>0</v>
      </c>
      <c r="AC19">
        <v>8</v>
      </c>
      <c r="AD19">
        <v>0</v>
      </c>
      <c r="AE19">
        <v>27</v>
      </c>
      <c r="AF19">
        <v>1</v>
      </c>
      <c r="AG19">
        <v>18</v>
      </c>
      <c r="AH19">
        <v>117</v>
      </c>
      <c r="AI19">
        <v>0</v>
      </c>
      <c r="AJ19">
        <f t="shared" si="4"/>
        <v>1658</v>
      </c>
    </row>
    <row r="20" spans="2:37" x14ac:dyDescent="0.25">
      <c r="B20" t="str">
        <f t="shared" si="2"/>
        <v>10000</v>
      </c>
      <c r="C20">
        <f t="shared" si="3"/>
        <v>16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841</v>
      </c>
      <c r="U20">
        <v>6049</v>
      </c>
      <c r="V20">
        <v>1110</v>
      </c>
      <c r="W20">
        <v>0</v>
      </c>
      <c r="X20">
        <v>84</v>
      </c>
      <c r="Y20">
        <v>0</v>
      </c>
      <c r="Z20">
        <v>0</v>
      </c>
      <c r="AA20">
        <v>0</v>
      </c>
      <c r="AB20">
        <v>17890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f t="shared" si="4"/>
        <v>25974</v>
      </c>
    </row>
    <row r="21" spans="2:37" x14ac:dyDescent="0.25">
      <c r="B21" t="str">
        <f t="shared" si="2"/>
        <v>10001</v>
      </c>
      <c r="C21">
        <f t="shared" si="3"/>
        <v>17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389</v>
      </c>
      <c r="U21">
        <v>9</v>
      </c>
      <c r="V21">
        <v>244</v>
      </c>
      <c r="W21">
        <v>2212</v>
      </c>
      <c r="X21">
        <v>70</v>
      </c>
      <c r="Y21">
        <v>517</v>
      </c>
      <c r="Z21">
        <v>247</v>
      </c>
      <c r="AA21">
        <v>0</v>
      </c>
      <c r="AB21">
        <v>9</v>
      </c>
      <c r="AC21">
        <v>8152</v>
      </c>
      <c r="AD21">
        <v>25</v>
      </c>
      <c r="AE21">
        <v>0</v>
      </c>
      <c r="AF21">
        <v>7</v>
      </c>
      <c r="AG21">
        <v>0</v>
      </c>
      <c r="AH21">
        <v>0</v>
      </c>
      <c r="AI21">
        <v>0</v>
      </c>
      <c r="AJ21">
        <f t="shared" si="4"/>
        <v>11881</v>
      </c>
    </row>
    <row r="22" spans="2:37" x14ac:dyDescent="0.25">
      <c r="B22" t="str">
        <f t="shared" si="2"/>
        <v>10010</v>
      </c>
      <c r="C22">
        <f t="shared" si="3"/>
        <v>18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174</v>
      </c>
      <c r="U22">
        <v>516</v>
      </c>
      <c r="V22">
        <v>336</v>
      </c>
      <c r="W22">
        <v>988</v>
      </c>
      <c r="X22">
        <v>40</v>
      </c>
      <c r="Y22">
        <v>205</v>
      </c>
      <c r="Z22">
        <v>3</v>
      </c>
      <c r="AA22">
        <v>0</v>
      </c>
      <c r="AB22">
        <v>15</v>
      </c>
      <c r="AC22">
        <v>33</v>
      </c>
      <c r="AD22">
        <v>4169</v>
      </c>
      <c r="AE22">
        <v>0</v>
      </c>
      <c r="AF22">
        <v>0</v>
      </c>
      <c r="AG22">
        <v>0</v>
      </c>
      <c r="AH22">
        <v>0</v>
      </c>
      <c r="AI22">
        <v>0</v>
      </c>
      <c r="AJ22">
        <f t="shared" si="4"/>
        <v>6479</v>
      </c>
    </row>
    <row r="23" spans="2:37" x14ac:dyDescent="0.25">
      <c r="B23" t="str">
        <f t="shared" si="2"/>
        <v>10011</v>
      </c>
      <c r="C23">
        <f t="shared" si="3"/>
        <v>19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143</v>
      </c>
      <c r="U23">
        <v>2</v>
      </c>
      <c r="V23">
        <v>136</v>
      </c>
      <c r="W23">
        <v>229</v>
      </c>
      <c r="X23">
        <v>33</v>
      </c>
      <c r="Y23">
        <v>262</v>
      </c>
      <c r="Z23">
        <v>117</v>
      </c>
      <c r="AA23">
        <v>726</v>
      </c>
      <c r="AB23">
        <v>6</v>
      </c>
      <c r="AC23">
        <v>72</v>
      </c>
      <c r="AD23">
        <v>6</v>
      </c>
      <c r="AE23">
        <v>3616</v>
      </c>
      <c r="AF23">
        <v>1</v>
      </c>
      <c r="AG23">
        <v>2</v>
      </c>
      <c r="AH23">
        <v>0</v>
      </c>
      <c r="AI23">
        <v>0</v>
      </c>
      <c r="AJ23">
        <f t="shared" si="4"/>
        <v>5351</v>
      </c>
    </row>
    <row r="24" spans="2:37" x14ac:dyDescent="0.25">
      <c r="B24" t="str">
        <f t="shared" si="2"/>
        <v>10100</v>
      </c>
      <c r="C24">
        <f t="shared" si="3"/>
        <v>20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85</v>
      </c>
      <c r="U24">
        <v>328</v>
      </c>
      <c r="V24">
        <v>124</v>
      </c>
      <c r="W24">
        <v>0</v>
      </c>
      <c r="X24">
        <v>8</v>
      </c>
      <c r="Y24">
        <v>372</v>
      </c>
      <c r="Z24">
        <v>0</v>
      </c>
      <c r="AA24">
        <v>0</v>
      </c>
      <c r="AB24">
        <v>3</v>
      </c>
      <c r="AC24">
        <v>1</v>
      </c>
      <c r="AD24">
        <v>0</v>
      </c>
      <c r="AE24">
        <v>0</v>
      </c>
      <c r="AF24">
        <v>1661</v>
      </c>
      <c r="AG24">
        <v>0</v>
      </c>
      <c r="AH24">
        <v>0</v>
      </c>
      <c r="AI24">
        <v>0</v>
      </c>
      <c r="AJ24">
        <f t="shared" si="4"/>
        <v>2582</v>
      </c>
    </row>
    <row r="25" spans="2:37" x14ac:dyDescent="0.25">
      <c r="B25" t="str">
        <f t="shared" si="2"/>
        <v>10101</v>
      </c>
      <c r="C25">
        <f t="shared" si="3"/>
        <v>21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79</v>
      </c>
      <c r="U25">
        <v>2</v>
      </c>
      <c r="V25">
        <v>45</v>
      </c>
      <c r="W25">
        <v>211</v>
      </c>
      <c r="X25">
        <v>18</v>
      </c>
      <c r="Y25">
        <v>97</v>
      </c>
      <c r="Z25">
        <v>56</v>
      </c>
      <c r="AA25">
        <v>241</v>
      </c>
      <c r="AB25">
        <v>1</v>
      </c>
      <c r="AC25">
        <v>5</v>
      </c>
      <c r="AD25">
        <v>3</v>
      </c>
      <c r="AE25">
        <v>2</v>
      </c>
      <c r="AF25">
        <v>2</v>
      </c>
      <c r="AG25">
        <v>1605</v>
      </c>
      <c r="AH25">
        <v>0</v>
      </c>
      <c r="AI25">
        <v>0</v>
      </c>
      <c r="AJ25">
        <f t="shared" si="4"/>
        <v>2367</v>
      </c>
    </row>
    <row r="26" spans="2:37" x14ac:dyDescent="0.25">
      <c r="B26" t="str">
        <f t="shared" si="2"/>
        <v>10110</v>
      </c>
      <c r="C26">
        <f t="shared" si="3"/>
        <v>22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42</v>
      </c>
      <c r="U26">
        <v>156</v>
      </c>
      <c r="V26">
        <v>80</v>
      </c>
      <c r="W26">
        <v>1</v>
      </c>
      <c r="X26">
        <v>2</v>
      </c>
      <c r="Y26">
        <v>62</v>
      </c>
      <c r="Z26">
        <v>1</v>
      </c>
      <c r="AA26">
        <v>333</v>
      </c>
      <c r="AB26">
        <v>9</v>
      </c>
      <c r="AC26">
        <v>7</v>
      </c>
      <c r="AD26">
        <v>0</v>
      </c>
      <c r="AE26">
        <v>0</v>
      </c>
      <c r="AF26">
        <v>1</v>
      </c>
      <c r="AG26">
        <v>0</v>
      </c>
      <c r="AH26">
        <v>1143</v>
      </c>
      <c r="AI26">
        <v>0</v>
      </c>
      <c r="AJ26">
        <f t="shared" si="4"/>
        <v>1837</v>
      </c>
    </row>
    <row r="27" spans="2:37" x14ac:dyDescent="0.25">
      <c r="B27" t="str">
        <f t="shared" si="2"/>
        <v>10111</v>
      </c>
      <c r="C27">
        <f t="shared" si="3"/>
        <v>23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83</v>
      </c>
      <c r="U27">
        <v>3</v>
      </c>
      <c r="V27">
        <v>54</v>
      </c>
      <c r="W27">
        <v>89</v>
      </c>
      <c r="X27">
        <v>11</v>
      </c>
      <c r="Y27">
        <v>91</v>
      </c>
      <c r="Z27">
        <v>47</v>
      </c>
      <c r="AA27">
        <v>289</v>
      </c>
      <c r="AB27">
        <v>0</v>
      </c>
      <c r="AC27">
        <v>7</v>
      </c>
      <c r="AD27">
        <v>0</v>
      </c>
      <c r="AE27">
        <v>10</v>
      </c>
      <c r="AF27">
        <v>2</v>
      </c>
      <c r="AG27">
        <v>21</v>
      </c>
      <c r="AH27">
        <v>0</v>
      </c>
      <c r="AI27">
        <v>1392</v>
      </c>
      <c r="AJ27">
        <f t="shared" si="4"/>
        <v>2099</v>
      </c>
    </row>
    <row r="28" spans="2:37" ht="31.5" x14ac:dyDescent="0.25">
      <c r="D28" s="12" t="str">
        <f>D2</f>
        <v>00000</v>
      </c>
      <c r="E28" s="12" t="str">
        <f t="shared" ref="E28:AI28" si="5">E2</f>
        <v>00001</v>
      </c>
      <c r="F28" s="12" t="str">
        <f t="shared" si="5"/>
        <v>00010</v>
      </c>
      <c r="G28" s="12" t="str">
        <f t="shared" si="5"/>
        <v>00011</v>
      </c>
      <c r="H28" s="12" t="str">
        <f t="shared" si="5"/>
        <v>00100</v>
      </c>
      <c r="I28" s="12" t="str">
        <f t="shared" si="5"/>
        <v>00101</v>
      </c>
      <c r="J28" s="12" t="str">
        <f t="shared" si="5"/>
        <v>00110</v>
      </c>
      <c r="K28" s="12" t="str">
        <f t="shared" si="5"/>
        <v>00111</v>
      </c>
      <c r="L28" s="12" t="str">
        <f t="shared" si="5"/>
        <v>01000</v>
      </c>
      <c r="M28" s="12" t="str">
        <f t="shared" si="5"/>
        <v>01001</v>
      </c>
      <c r="N28" s="12" t="str">
        <f t="shared" si="5"/>
        <v>01010</v>
      </c>
      <c r="O28" s="12" t="str">
        <f t="shared" si="5"/>
        <v>01011</v>
      </c>
      <c r="P28" s="12" t="str">
        <f t="shared" si="5"/>
        <v>01100</v>
      </c>
      <c r="Q28" s="12" t="str">
        <f t="shared" si="5"/>
        <v>01101</v>
      </c>
      <c r="R28" s="12" t="str">
        <f t="shared" si="5"/>
        <v>01110</v>
      </c>
      <c r="S28" s="12" t="str">
        <f t="shared" si="5"/>
        <v>01111</v>
      </c>
      <c r="T28" s="12" t="str">
        <f t="shared" si="5"/>
        <v>10000</v>
      </c>
      <c r="U28" s="12" t="str">
        <f t="shared" si="5"/>
        <v>10001</v>
      </c>
      <c r="V28" s="12" t="str">
        <f t="shared" si="5"/>
        <v>10010</v>
      </c>
      <c r="W28" s="12" t="str">
        <f t="shared" si="5"/>
        <v>10011</v>
      </c>
      <c r="X28" s="12" t="str">
        <f t="shared" si="5"/>
        <v>10100</v>
      </c>
      <c r="Y28" s="12" t="str">
        <f t="shared" si="5"/>
        <v>10101</v>
      </c>
      <c r="Z28" s="12" t="str">
        <f t="shared" si="5"/>
        <v>10110</v>
      </c>
      <c r="AA28" s="12" t="str">
        <f t="shared" si="5"/>
        <v>10111</v>
      </c>
      <c r="AB28" s="12" t="str">
        <f t="shared" si="5"/>
        <v>11000</v>
      </c>
      <c r="AC28" s="12" t="str">
        <f t="shared" si="5"/>
        <v>11001</v>
      </c>
      <c r="AD28" s="12" t="str">
        <f t="shared" si="5"/>
        <v>11010</v>
      </c>
      <c r="AE28" s="12" t="str">
        <f t="shared" si="5"/>
        <v>11011</v>
      </c>
      <c r="AF28" s="12" t="str">
        <f t="shared" si="5"/>
        <v>11100</v>
      </c>
      <c r="AG28" s="12" t="str">
        <f t="shared" si="5"/>
        <v>11101</v>
      </c>
      <c r="AH28" s="12" t="str">
        <f t="shared" si="5"/>
        <v>11110</v>
      </c>
      <c r="AI28" s="12" t="str">
        <f t="shared" si="5"/>
        <v>11111</v>
      </c>
      <c r="AJ28" s="15">
        <f>SUM(AJ29:AJ52)</f>
        <v>-974.05517060000398</v>
      </c>
      <c r="AK28" s="16">
        <f>AJ28/AJ3</f>
        <v>-5.3573087956088174E-3</v>
      </c>
    </row>
    <row r="29" spans="2:37" x14ac:dyDescent="0.25">
      <c r="B29" t="str">
        <f>B4</f>
        <v>00000</v>
      </c>
      <c r="D29" s="14">
        <f>D4*'2021'!D4</f>
        <v>1565</v>
      </c>
      <c r="E29" s="14">
        <f>E4*'2021'!E4</f>
        <v>4149.6962384000008</v>
      </c>
      <c r="F29" s="14">
        <f>F4*'2021'!F4</f>
        <v>1320.2990901000001</v>
      </c>
      <c r="G29" s="14">
        <f>G4*'2021'!G4</f>
        <v>0</v>
      </c>
      <c r="H29" s="14">
        <f>H4*'2021'!H4</f>
        <v>161.8300792</v>
      </c>
      <c r="I29" s="14">
        <f>I4*'2021'!I4</f>
        <v>0</v>
      </c>
      <c r="J29" s="14">
        <f>J4*'2021'!J4</f>
        <v>0</v>
      </c>
      <c r="K29" s="14">
        <f>K4*'2021'!K4</f>
        <v>0</v>
      </c>
      <c r="L29" s="14">
        <f>L4*'2021'!L4</f>
        <v>-7535.0358845000028</v>
      </c>
      <c r="M29" s="14">
        <f>M4*'2021'!M4</f>
        <v>0</v>
      </c>
      <c r="N29" s="14">
        <f>N4*'2021'!N4</f>
        <v>0</v>
      </c>
      <c r="O29" s="14">
        <f>O4*'2021'!O4</f>
        <v>0</v>
      </c>
      <c r="P29" s="14">
        <f>P4*'2021'!P4</f>
        <v>0</v>
      </c>
      <c r="Q29" s="14">
        <f>Q4*'2021'!Q4</f>
        <v>0</v>
      </c>
      <c r="R29" s="14">
        <f>R4*'2021'!R4</f>
        <v>0</v>
      </c>
      <c r="S29" s="14">
        <f>S4*'2021'!S4</f>
        <v>0</v>
      </c>
      <c r="T29" s="14">
        <f>T4*'2021'!T4</f>
        <v>0</v>
      </c>
      <c r="U29" s="14">
        <f>U4*'2021'!U4</f>
        <v>0</v>
      </c>
      <c r="V29" s="14">
        <f>V4*'2021'!V4</f>
        <v>0</v>
      </c>
      <c r="W29" s="14">
        <f>W4*'2021'!W4</f>
        <v>0</v>
      </c>
      <c r="X29" s="14">
        <f>X4*'2021'!X4</f>
        <v>0</v>
      </c>
      <c r="Y29" s="14">
        <f>Y4*'2021'!Y4</f>
        <v>0</v>
      </c>
      <c r="Z29" s="14">
        <f>Z4*'2021'!Z4</f>
        <v>0</v>
      </c>
      <c r="AA29" s="14">
        <f>AA4*'2021'!AA4</f>
        <v>0</v>
      </c>
      <c r="AB29" s="14">
        <f>AB4*'2021'!AB4</f>
        <v>0</v>
      </c>
      <c r="AC29" s="14">
        <f>AC4*'2021'!AC4</f>
        <v>0</v>
      </c>
      <c r="AD29" s="14">
        <f>AD4*'2021'!AD4</f>
        <v>0</v>
      </c>
      <c r="AE29" s="14">
        <f>AE4*'2021'!AE4</f>
        <v>0</v>
      </c>
      <c r="AF29" s="14">
        <f>AF4*'2021'!AF4</f>
        <v>0</v>
      </c>
      <c r="AG29" s="14">
        <f>AG4*'2021'!AG4</f>
        <v>0</v>
      </c>
      <c r="AH29" s="14">
        <f>AH4*'2021'!AH4</f>
        <v>0</v>
      </c>
      <c r="AI29" s="14">
        <f>AI4*'2021'!AI4</f>
        <v>0</v>
      </c>
      <c r="AJ29" s="15">
        <f>SUM(D29:AI29)</f>
        <v>-338.21047680000174</v>
      </c>
      <c r="AK29" s="13">
        <f>AJ29/AJ4</f>
        <v>-7.634720350346548E-3</v>
      </c>
    </row>
    <row r="30" spans="2:37" x14ac:dyDescent="0.25">
      <c r="B30" t="str">
        <f t="shared" ref="B30:B52" si="6">B5</f>
        <v>00001</v>
      </c>
      <c r="D30" s="14">
        <f>D5*'2021'!D5</f>
        <v>562.6517247999999</v>
      </c>
      <c r="E30" s="14">
        <f>E5*'2021'!E5</f>
        <v>1</v>
      </c>
      <c r="F30" s="14">
        <f>F5*'2021'!F5</f>
        <v>147.36668399999996</v>
      </c>
      <c r="G30" s="14">
        <f>G5*'2021'!G5</f>
        <v>1331.3569565999996</v>
      </c>
      <c r="H30" s="14">
        <f>H5*'2021'!H5</f>
        <v>81.287453499999984</v>
      </c>
      <c r="I30" s="14">
        <f>I5*'2021'!I5</f>
        <v>318.2647366999999</v>
      </c>
      <c r="J30" s="14">
        <f>J5*'2021'!J5</f>
        <v>406.15642800000001</v>
      </c>
      <c r="K30" s="14">
        <f>K5*'2021'!K5</f>
        <v>0</v>
      </c>
      <c r="L30" s="14">
        <f>L5*'2021'!L5</f>
        <v>1.0448006999999997</v>
      </c>
      <c r="M30" s="14">
        <f>M5*'2021'!M5</f>
        <v>-1812.6425503999994</v>
      </c>
      <c r="N30" s="14">
        <f>N5*'2021'!N5</f>
        <v>-184.85905960000005</v>
      </c>
      <c r="O30" s="14">
        <f>O5*'2021'!O5</f>
        <v>0</v>
      </c>
      <c r="P30" s="14">
        <f>P5*'2021'!P5</f>
        <v>0.51888760000000111</v>
      </c>
      <c r="Q30" s="14">
        <f>Q5*'2021'!Q5</f>
        <v>0</v>
      </c>
      <c r="R30" s="14">
        <f>R5*'2021'!R5</f>
        <v>0</v>
      </c>
      <c r="S30" s="14">
        <f>S5*'2021'!S5</f>
        <v>0</v>
      </c>
      <c r="T30" s="14">
        <f>T5*'2021'!T5</f>
        <v>-901.47649920000003</v>
      </c>
      <c r="U30" s="14">
        <f>U5*'2021'!U5</f>
        <v>0</v>
      </c>
      <c r="V30" s="14">
        <f>V5*'2021'!V5</f>
        <v>0</v>
      </c>
      <c r="W30" s="14">
        <f>W5*'2021'!W5</f>
        <v>0</v>
      </c>
      <c r="X30" s="14">
        <f>X5*'2021'!X5</f>
        <v>0</v>
      </c>
      <c r="Y30" s="14">
        <f>Y5*'2021'!Y5</f>
        <v>0</v>
      </c>
      <c r="Z30" s="14">
        <f>Z5*'2021'!Z5</f>
        <v>0</v>
      </c>
      <c r="AA30" s="14">
        <f>AA5*'2021'!AA5</f>
        <v>0</v>
      </c>
      <c r="AB30" s="14">
        <f>AB5*'2021'!AB5</f>
        <v>0</v>
      </c>
      <c r="AC30" s="14">
        <f>AC5*'2021'!AC5</f>
        <v>0</v>
      </c>
      <c r="AD30" s="14">
        <f>AD5*'2021'!AD5</f>
        <v>0</v>
      </c>
      <c r="AE30" s="14">
        <f>AE5*'2021'!AE5</f>
        <v>0</v>
      </c>
      <c r="AF30" s="14">
        <f>AF5*'2021'!AF5</f>
        <v>0</v>
      </c>
      <c r="AG30" s="14">
        <f>AG5*'2021'!AG5</f>
        <v>0</v>
      </c>
      <c r="AH30" s="14">
        <f>AH5*'2021'!AH5</f>
        <v>0</v>
      </c>
      <c r="AI30" s="14">
        <f>AI5*'2021'!AI5</f>
        <v>0</v>
      </c>
      <c r="AJ30" s="15">
        <f t="shared" ref="AJ30:AJ52" si="7">SUM(D30:AI30)</f>
        <v>-49.330437299999971</v>
      </c>
      <c r="AK30" s="13">
        <f t="shared" ref="AK30:AK52" si="8">AJ30/AJ5</f>
        <v>-4.9853903284487085E-3</v>
      </c>
    </row>
    <row r="31" spans="2:37" x14ac:dyDescent="0.25">
      <c r="B31" t="str">
        <f t="shared" si="6"/>
        <v>00010</v>
      </c>
      <c r="D31" s="14">
        <f>D6*'2021'!D6</f>
        <v>128.81634979999998</v>
      </c>
      <c r="E31" s="14">
        <f>E6*'2021'!E6</f>
        <v>128.91469810000001</v>
      </c>
      <c r="F31" s="14">
        <f>F6*'2021'!F6</f>
        <v>173.99999999999997</v>
      </c>
      <c r="G31" s="14">
        <f>G6*'2021'!G6</f>
        <v>182.16490839999997</v>
      </c>
      <c r="H31" s="14">
        <f>H6*'2021'!H6</f>
        <v>23.748061999999994</v>
      </c>
      <c r="I31" s="14">
        <f>I6*'2021'!I6</f>
        <v>217.95542359999993</v>
      </c>
      <c r="J31" s="14">
        <f>J6*'2021'!J6</f>
        <v>15.302662200000002</v>
      </c>
      <c r="K31" s="14">
        <f>K6*'2021'!K6</f>
        <v>0</v>
      </c>
      <c r="L31" s="14">
        <f>L6*'2021'!L6</f>
        <v>0.72126719999999978</v>
      </c>
      <c r="M31" s="14">
        <f>M6*'2021'!M6</f>
        <v>-25.797126599999999</v>
      </c>
      <c r="N31" s="14">
        <f>N6*'2021'!N6</f>
        <v>-702.7527869999999</v>
      </c>
      <c r="O31" s="14">
        <f>O6*'2021'!O6</f>
        <v>0</v>
      </c>
      <c r="P31" s="14">
        <f>P6*'2021'!P6</f>
        <v>-142.67124810000001</v>
      </c>
      <c r="Q31" s="14">
        <f>Q6*'2021'!Q6</f>
        <v>0</v>
      </c>
      <c r="R31" s="14">
        <f>R6*'2021'!R6</f>
        <v>0</v>
      </c>
      <c r="S31" s="14">
        <f>S6*'2021'!S6</f>
        <v>0</v>
      </c>
      <c r="T31" s="14">
        <f>T6*'2021'!T6</f>
        <v>-16.713768000000002</v>
      </c>
      <c r="U31" s="14">
        <f>U6*'2021'!U6</f>
        <v>0</v>
      </c>
      <c r="V31" s="14">
        <f>V6*'2021'!V6</f>
        <v>0</v>
      </c>
      <c r="W31" s="14">
        <f>W6*'2021'!W6</f>
        <v>0</v>
      </c>
      <c r="X31" s="14">
        <f>X6*'2021'!X6</f>
        <v>0</v>
      </c>
      <c r="Y31" s="14">
        <f>Y6*'2021'!Y6</f>
        <v>0</v>
      </c>
      <c r="Z31" s="14">
        <f>Z6*'2021'!Z6</f>
        <v>0</v>
      </c>
      <c r="AA31" s="14">
        <f>AA6*'2021'!AA6</f>
        <v>0</v>
      </c>
      <c r="AB31" s="14">
        <f>AB6*'2021'!AB6</f>
        <v>0</v>
      </c>
      <c r="AC31" s="14">
        <f>AC6*'2021'!AC6</f>
        <v>0</v>
      </c>
      <c r="AD31" s="14">
        <f>AD6*'2021'!AD6</f>
        <v>0</v>
      </c>
      <c r="AE31" s="14">
        <f>AE6*'2021'!AE6</f>
        <v>0</v>
      </c>
      <c r="AF31" s="14">
        <f>AF6*'2021'!AF6</f>
        <v>0</v>
      </c>
      <c r="AG31" s="14">
        <f>AG6*'2021'!AG6</f>
        <v>0</v>
      </c>
      <c r="AH31" s="14">
        <f>AH6*'2021'!AH6</f>
        <v>0</v>
      </c>
      <c r="AI31" s="14">
        <f>AI6*'2021'!AI6</f>
        <v>0</v>
      </c>
      <c r="AJ31" s="15">
        <f t="shared" si="7"/>
        <v>-16.311558399999953</v>
      </c>
      <c r="AK31" s="13">
        <f t="shared" si="8"/>
        <v>-4.5793257720381673E-3</v>
      </c>
    </row>
    <row r="32" spans="2:37" x14ac:dyDescent="0.25">
      <c r="B32" t="str">
        <f t="shared" si="6"/>
        <v>00011</v>
      </c>
      <c r="D32" s="14">
        <f>D7*'2021'!D7</f>
        <v>186.98210879999999</v>
      </c>
      <c r="E32" s="14">
        <f>E7*'2021'!E7</f>
        <v>0</v>
      </c>
      <c r="F32" s="14">
        <f>F7*'2021'!F7</f>
        <v>45.742964399999998</v>
      </c>
      <c r="G32" s="14">
        <f>G7*'2021'!G7</f>
        <v>96</v>
      </c>
      <c r="H32" s="14">
        <f>H7*'2021'!H7</f>
        <v>23.754140799999998</v>
      </c>
      <c r="I32" s="14">
        <f>I7*'2021'!I7</f>
        <v>85.271524799999995</v>
      </c>
      <c r="J32" s="14">
        <f>J7*'2021'!J7</f>
        <v>152.18252059999998</v>
      </c>
      <c r="K32" s="14">
        <f>K7*'2021'!K7</f>
        <v>428.71419680000008</v>
      </c>
      <c r="L32" s="14">
        <f>L7*'2021'!L7</f>
        <v>2.7902191999999992</v>
      </c>
      <c r="M32" s="14">
        <f>M7*'2021'!M7</f>
        <v>-0.29498960000000096</v>
      </c>
      <c r="N32" s="14">
        <f>N7*'2021'!N7</f>
        <v>0.68638260000000084</v>
      </c>
      <c r="O32" s="14">
        <f>O7*'2021'!O7</f>
        <v>-585.48804830000006</v>
      </c>
      <c r="P32" s="14">
        <f>P7*'2021'!P7</f>
        <v>1.5454052000000011</v>
      </c>
      <c r="Q32" s="14">
        <f>Q7*'2021'!Q7</f>
        <v>-106.83082319999997</v>
      </c>
      <c r="R32" s="14">
        <f>R7*'2021'!R7</f>
        <v>-45.500042000000064</v>
      </c>
      <c r="S32" s="14">
        <f>S7*'2021'!S7</f>
        <v>0</v>
      </c>
      <c r="T32" s="14">
        <f>T7*'2021'!T7</f>
        <v>0</v>
      </c>
      <c r="U32" s="14">
        <f>U7*'2021'!U7</f>
        <v>-36.0963864</v>
      </c>
      <c r="V32" s="14">
        <f>V7*'2021'!V7</f>
        <v>-27.455782200000002</v>
      </c>
      <c r="W32" s="14">
        <f>W7*'2021'!W7</f>
        <v>0</v>
      </c>
      <c r="X32" s="14">
        <f>X7*'2021'!X7</f>
        <v>-248.9600476</v>
      </c>
      <c r="Y32" s="14">
        <f>Y7*'2021'!Y7</f>
        <v>0</v>
      </c>
      <c r="Z32" s="14">
        <f>Z7*'2021'!Z7</f>
        <v>0</v>
      </c>
      <c r="AA32" s="14">
        <f>AA7*'2021'!AA7</f>
        <v>0</v>
      </c>
      <c r="AB32" s="14">
        <f>AB7*'2021'!AB7</f>
        <v>-4.7197700999999999</v>
      </c>
      <c r="AC32" s="14">
        <f>AC7*'2021'!AC7</f>
        <v>0</v>
      </c>
      <c r="AD32" s="14">
        <f>AD7*'2021'!AD7</f>
        <v>0</v>
      </c>
      <c r="AE32" s="14">
        <f>AE7*'2021'!AE7</f>
        <v>0</v>
      </c>
      <c r="AF32" s="14">
        <f>AF7*'2021'!AF7</f>
        <v>0</v>
      </c>
      <c r="AG32" s="14">
        <f>AG7*'2021'!AG7</f>
        <v>0</v>
      </c>
      <c r="AH32" s="14">
        <f>AH7*'2021'!AH7</f>
        <v>0</v>
      </c>
      <c r="AI32" s="14">
        <f>AI7*'2021'!AI7</f>
        <v>0</v>
      </c>
      <c r="AJ32" s="15">
        <f t="shared" si="7"/>
        <v>-31.676426199999973</v>
      </c>
      <c r="AK32" s="13">
        <f t="shared" si="8"/>
        <v>-1.2081016857360783E-2</v>
      </c>
    </row>
    <row r="33" spans="2:37" x14ac:dyDescent="0.25">
      <c r="B33" t="str">
        <f t="shared" si="6"/>
        <v>00100</v>
      </c>
      <c r="D33" s="14">
        <f>D8*'2021'!D8</f>
        <v>16.807330499999999</v>
      </c>
      <c r="E33" s="14">
        <f>E8*'2021'!E8</f>
        <v>38.631426200000014</v>
      </c>
      <c r="F33" s="14">
        <f>F8*'2021'!F8</f>
        <v>14.251937999999997</v>
      </c>
      <c r="G33" s="14">
        <f>G8*'2021'!G8</f>
        <v>0</v>
      </c>
      <c r="H33" s="14">
        <f>H8*'2021'!H8</f>
        <v>3.9999999999999991</v>
      </c>
      <c r="I33" s="14">
        <f>I8*'2021'!I8</f>
        <v>24.514655999999992</v>
      </c>
      <c r="J33" s="14">
        <f>J8*'2021'!J8</f>
        <v>0</v>
      </c>
      <c r="K33" s="14">
        <f>K8*'2021'!K8</f>
        <v>0</v>
      </c>
      <c r="L33" s="14">
        <f>L8*'2021'!L8</f>
        <v>-11.282751599999999</v>
      </c>
      <c r="M33" s="14">
        <f>M8*'2021'!M8</f>
        <v>-1.7282305999999998</v>
      </c>
      <c r="N33" s="14">
        <f>N8*'2021'!N8</f>
        <v>0</v>
      </c>
      <c r="O33" s="14">
        <f>O8*'2021'!O8</f>
        <v>0</v>
      </c>
      <c r="P33" s="14">
        <f>P8*'2021'!P8</f>
        <v>-83.328266699999986</v>
      </c>
      <c r="Q33" s="14">
        <f>Q8*'2021'!Q8</f>
        <v>0</v>
      </c>
      <c r="R33" s="14">
        <f>R8*'2021'!R8</f>
        <v>0</v>
      </c>
      <c r="S33" s="14">
        <f>S8*'2021'!S8</f>
        <v>0</v>
      </c>
      <c r="T33" s="14">
        <f>T8*'2021'!T8</f>
        <v>-2.5890170000000001</v>
      </c>
      <c r="U33" s="14">
        <f>U8*'2021'!U8</f>
        <v>0</v>
      </c>
      <c r="V33" s="14">
        <f>V8*'2021'!V8</f>
        <v>0</v>
      </c>
      <c r="W33" s="14">
        <f>W8*'2021'!W8</f>
        <v>0</v>
      </c>
      <c r="X33" s="14">
        <f>X8*'2021'!X8</f>
        <v>0</v>
      </c>
      <c r="Y33" s="14">
        <f>Y8*'2021'!Y8</f>
        <v>0</v>
      </c>
      <c r="Z33" s="14">
        <f>Z8*'2021'!Z8</f>
        <v>0</v>
      </c>
      <c r="AA33" s="14">
        <f>AA8*'2021'!AA8</f>
        <v>0</v>
      </c>
      <c r="AB33" s="14">
        <f>AB8*'2021'!AB8</f>
        <v>0</v>
      </c>
      <c r="AC33" s="14">
        <f>AC8*'2021'!AC8</f>
        <v>0</v>
      </c>
      <c r="AD33" s="14">
        <f>AD8*'2021'!AD8</f>
        <v>0</v>
      </c>
      <c r="AE33" s="14">
        <f>AE8*'2021'!AE8</f>
        <v>0</v>
      </c>
      <c r="AF33" s="14">
        <f>AF8*'2021'!AF8</f>
        <v>0</v>
      </c>
      <c r="AG33" s="14">
        <f>AG8*'2021'!AG8</f>
        <v>0</v>
      </c>
      <c r="AH33" s="14">
        <f>AH8*'2021'!AH8</f>
        <v>0</v>
      </c>
      <c r="AI33" s="14">
        <f>AI8*'2021'!AI8</f>
        <v>0</v>
      </c>
      <c r="AJ33" s="15">
        <f t="shared" si="7"/>
        <v>-0.72291519999999032</v>
      </c>
      <c r="AK33" s="13">
        <f t="shared" si="8"/>
        <v>-1.5993699115044034E-3</v>
      </c>
    </row>
    <row r="34" spans="2:37" x14ac:dyDescent="0.25">
      <c r="B34" t="str">
        <f t="shared" si="6"/>
        <v>00101</v>
      </c>
      <c r="D34" s="14">
        <f>D9*'2021'!D9</f>
        <v>47.933510799999993</v>
      </c>
      <c r="E34" s="14">
        <f>E9*'2021'!E9</f>
        <v>0</v>
      </c>
      <c r="F34" s="14">
        <f>F9*'2021'!F9</f>
        <v>17.439817199999997</v>
      </c>
      <c r="G34" s="14">
        <f>G9*'2021'!G9</f>
        <v>99.343503999999982</v>
      </c>
      <c r="H34" s="14">
        <f>H9*'2021'!H9</f>
        <v>7.9571119999999986</v>
      </c>
      <c r="I34" s="14">
        <f>I9*'2021'!I9</f>
        <v>37.999999999999993</v>
      </c>
      <c r="J34" s="14">
        <f>J9*'2021'!J9</f>
        <v>34.767067999999995</v>
      </c>
      <c r="K34" s="14">
        <f>K9*'2021'!K9</f>
        <v>44.166400000000017</v>
      </c>
      <c r="L34" s="14">
        <f>L9*'2021'!L9</f>
        <v>0</v>
      </c>
      <c r="M34" s="14">
        <f>M9*'2021'!M9</f>
        <v>-36.26815570000003</v>
      </c>
      <c r="N34" s="14">
        <f>N9*'2021'!N9</f>
        <v>-6.5567933999999983</v>
      </c>
      <c r="O34" s="14">
        <f>O9*'2021'!O9</f>
        <v>-16.277248700000005</v>
      </c>
      <c r="P34" s="14">
        <f>P9*'2021'!P9</f>
        <v>0.60212840000000067</v>
      </c>
      <c r="Q34" s="14">
        <f>Q9*'2021'!Q9</f>
        <v>-159.45917439999999</v>
      </c>
      <c r="R34" s="14">
        <f>R9*'2021'!R9</f>
        <v>-15.459710400000013</v>
      </c>
      <c r="S34" s="14">
        <f>S9*'2021'!S9</f>
        <v>0</v>
      </c>
      <c r="T34" s="14">
        <f>T9*'2021'!T9</f>
        <v>-39.372821599999995</v>
      </c>
      <c r="U34" s="14">
        <f>U9*'2021'!U9</f>
        <v>-7.8636119999999998</v>
      </c>
      <c r="V34" s="14">
        <f>V9*'2021'!V9</f>
        <v>-5.9352371999999995</v>
      </c>
      <c r="W34" s="14">
        <f>W9*'2021'!W9</f>
        <v>0</v>
      </c>
      <c r="X34" s="14">
        <f>X9*'2021'!X9</f>
        <v>-11.416124799999999</v>
      </c>
      <c r="Y34" s="14">
        <f>Y9*'2021'!Y9</f>
        <v>0</v>
      </c>
      <c r="Z34" s="14">
        <f>Z9*'2021'!Z9</f>
        <v>0</v>
      </c>
      <c r="AA34" s="14">
        <f>AA9*'2021'!AA9</f>
        <v>0</v>
      </c>
      <c r="AB34" s="14">
        <f>AB9*'2021'!AB9</f>
        <v>-1.8090758999999998</v>
      </c>
      <c r="AC34" s="14">
        <f>AC9*'2021'!AC9</f>
        <v>0</v>
      </c>
      <c r="AD34" s="14">
        <f>AD9*'2021'!AD9</f>
        <v>0</v>
      </c>
      <c r="AE34" s="14">
        <f>AE9*'2021'!AE9</f>
        <v>0</v>
      </c>
      <c r="AF34" s="14">
        <f>AF9*'2021'!AF9</f>
        <v>0</v>
      </c>
      <c r="AG34" s="14">
        <f>AG9*'2021'!AG9</f>
        <v>0</v>
      </c>
      <c r="AH34" s="14">
        <f>AH9*'2021'!AH9</f>
        <v>0</v>
      </c>
      <c r="AI34" s="14">
        <f>AI9*'2021'!AI9</f>
        <v>0</v>
      </c>
      <c r="AJ34" s="15">
        <f t="shared" si="7"/>
        <v>-10.208413700000076</v>
      </c>
      <c r="AK34" s="13">
        <f t="shared" si="8"/>
        <v>-1.1534930734463362E-2</v>
      </c>
    </row>
    <row r="35" spans="2:37" x14ac:dyDescent="0.25">
      <c r="B35" t="str">
        <f t="shared" si="6"/>
        <v>00110</v>
      </c>
      <c r="D35" s="14">
        <f>D10*'2021'!D10</f>
        <v>30.874832099999995</v>
      </c>
      <c r="E35" s="14">
        <f>E10*'2021'!E10</f>
        <v>40.102234200000005</v>
      </c>
      <c r="F35" s="14">
        <f>F10*'2021'!F10</f>
        <v>40.694205799999992</v>
      </c>
      <c r="G35" s="14">
        <f>G10*'2021'!G10</f>
        <v>2.6124989999999992</v>
      </c>
      <c r="H35" s="14">
        <f>H10*'2021'!H10</f>
        <v>8.0984483999999988</v>
      </c>
      <c r="I35" s="14">
        <f>I10*'2021'!I10</f>
        <v>43.982501999999982</v>
      </c>
      <c r="J35" s="14">
        <f>J10*'2021'!J10</f>
        <v>6.9999999999999964</v>
      </c>
      <c r="K35" s="14">
        <f>K10*'2021'!K10</f>
        <v>36.324152999999995</v>
      </c>
      <c r="L35" s="14">
        <f>L10*'2021'!L10</f>
        <v>0.44010919999999931</v>
      </c>
      <c r="M35" s="14">
        <f>M10*'2021'!M10</f>
        <v>-1.0287478000000005</v>
      </c>
      <c r="N35" s="14">
        <f>N10*'2021'!N10</f>
        <v>-18.155155000000001</v>
      </c>
      <c r="O35" s="14">
        <f>O10*'2021'!O10</f>
        <v>-2.1967566000000005</v>
      </c>
      <c r="P35" s="14">
        <f>P10*'2021'!P10</f>
        <v>-7.3830608999999896</v>
      </c>
      <c r="Q35" s="14">
        <f>Q10*'2021'!Q10</f>
        <v>-5.1874104000000001</v>
      </c>
      <c r="R35" s="14">
        <f>R10*'2021'!R10</f>
        <v>-168.45046740000009</v>
      </c>
      <c r="S35" s="14">
        <f>S10*'2021'!S10</f>
        <v>0</v>
      </c>
      <c r="T35" s="14">
        <f>T10*'2021'!T10</f>
        <v>-0.94476709999999997</v>
      </c>
      <c r="U35" s="14">
        <f>U10*'2021'!U10</f>
        <v>0</v>
      </c>
      <c r="V35" s="14">
        <f>V10*'2021'!V10</f>
        <v>-3.4509806000000003</v>
      </c>
      <c r="W35" s="14">
        <f>W10*'2021'!W10</f>
        <v>0</v>
      </c>
      <c r="X35" s="14">
        <f>X10*'2021'!X10</f>
        <v>-3.3373932000000002</v>
      </c>
      <c r="Y35" s="14">
        <f>Y10*'2021'!Y10</f>
        <v>0</v>
      </c>
      <c r="Z35" s="14">
        <f>Z10*'2021'!Z10</f>
        <v>0</v>
      </c>
      <c r="AA35" s="14">
        <f>AA10*'2021'!AA10</f>
        <v>0</v>
      </c>
      <c r="AB35" s="14">
        <f>AB10*'2021'!AB10</f>
        <v>-2.0507569000000001</v>
      </c>
      <c r="AC35" s="14">
        <f>AC10*'2021'!AC10</f>
        <v>0</v>
      </c>
      <c r="AD35" s="14">
        <f>AD10*'2021'!AD10</f>
        <v>0</v>
      </c>
      <c r="AE35" s="14">
        <f>AE10*'2021'!AE10</f>
        <v>0</v>
      </c>
      <c r="AF35" s="14">
        <f>AF10*'2021'!AF10</f>
        <v>0</v>
      </c>
      <c r="AG35" s="14">
        <f>AG10*'2021'!AG10</f>
        <v>0</v>
      </c>
      <c r="AH35" s="14">
        <f>AH10*'2021'!AH10</f>
        <v>0</v>
      </c>
      <c r="AI35" s="14">
        <f>AI10*'2021'!AI10</f>
        <v>0</v>
      </c>
      <c r="AJ35" s="15">
        <f t="shared" si="7"/>
        <v>-2.0565122000000948</v>
      </c>
      <c r="AK35" s="13">
        <f t="shared" si="8"/>
        <v>-3.083226686656814E-3</v>
      </c>
    </row>
    <row r="36" spans="2:37" x14ac:dyDescent="0.25">
      <c r="B36" t="str">
        <f t="shared" si="6"/>
        <v>00111</v>
      </c>
      <c r="D36" s="14">
        <f>D11*'2021'!D11</f>
        <v>59.52862189999999</v>
      </c>
      <c r="E36" s="14">
        <f>E11*'2021'!E11</f>
        <v>0</v>
      </c>
      <c r="F36" s="14">
        <f>F11*'2021'!F11</f>
        <v>8.4116219999999977</v>
      </c>
      <c r="G36" s="14">
        <f>G11*'2021'!G11</f>
        <v>37.569347199999996</v>
      </c>
      <c r="H36" s="14">
        <f>H11*'2021'!H11</f>
        <v>9.6611119999999993</v>
      </c>
      <c r="I36" s="14">
        <f>I11*'2021'!I11</f>
        <v>29.497599999999995</v>
      </c>
      <c r="J36" s="14">
        <f>J11*'2021'!J11</f>
        <v>44.309467999999988</v>
      </c>
      <c r="K36" s="14">
        <f>K11*'2021'!K11</f>
        <v>144</v>
      </c>
      <c r="L36" s="14">
        <f>L11*'2021'!L11</f>
        <v>0.80253559999999968</v>
      </c>
      <c r="M36" s="14">
        <f>M11*'2021'!M11</f>
        <v>0.27242839999999902</v>
      </c>
      <c r="N36" s="14">
        <f>N11*'2021'!N11</f>
        <v>0.21937790000000001</v>
      </c>
      <c r="O36" s="14">
        <f>O11*'2021'!O11</f>
        <v>-19.088200100000009</v>
      </c>
      <c r="P36" s="14">
        <f>P11*'2021'!P11</f>
        <v>0.98266420000000032</v>
      </c>
      <c r="Q36" s="14">
        <f>Q11*'2021'!Q11</f>
        <v>-18.899855799999997</v>
      </c>
      <c r="R36" s="14">
        <f>R11*'2021'!R11</f>
        <v>-3.1909104000000141</v>
      </c>
      <c r="S36" s="14">
        <f>S11*'2021'!S11</f>
        <v>-223.00518240000008</v>
      </c>
      <c r="T36" s="14">
        <f>T11*'2021'!T11</f>
        <v>0</v>
      </c>
      <c r="U36" s="14">
        <f>U11*'2021'!U11</f>
        <v>-2.4638448000000004</v>
      </c>
      <c r="V36" s="14">
        <f>V11*'2021'!V11</f>
        <v>-1.1430093000000001</v>
      </c>
      <c r="W36" s="14">
        <f>W11*'2021'!W11</f>
        <v>-4.0047082000000005</v>
      </c>
      <c r="X36" s="14">
        <f>X11*'2021'!X11</f>
        <v>-42.3624084</v>
      </c>
      <c r="Y36" s="14">
        <f>Y11*'2021'!Y11</f>
        <v>-7.8039832000000011</v>
      </c>
      <c r="Z36" s="14">
        <f>Z11*'2021'!Z11</f>
        <v>-18.716332999999999</v>
      </c>
      <c r="AA36" s="14">
        <f>AA11*'2021'!AA11</f>
        <v>0</v>
      </c>
      <c r="AB36" s="14">
        <f>AB11*'2021'!AB11</f>
        <v>0</v>
      </c>
      <c r="AC36" s="14">
        <f>AC11*'2021'!AC11</f>
        <v>0</v>
      </c>
      <c r="AD36" s="14">
        <f>AD11*'2021'!AD11</f>
        <v>0</v>
      </c>
      <c r="AE36" s="14">
        <f>AE11*'2021'!AE11</f>
        <v>0</v>
      </c>
      <c r="AF36" s="14">
        <f>AF11*'2021'!AF11</f>
        <v>0</v>
      </c>
      <c r="AG36" s="14">
        <f>AG11*'2021'!AG11</f>
        <v>0</v>
      </c>
      <c r="AH36" s="14">
        <f>AH11*'2021'!AH11</f>
        <v>0</v>
      </c>
      <c r="AI36" s="14">
        <f>AI11*'2021'!AI11</f>
        <v>0</v>
      </c>
      <c r="AJ36" s="15">
        <f t="shared" si="7"/>
        <v>-5.423658400000182</v>
      </c>
      <c r="AK36" s="13">
        <f t="shared" si="8"/>
        <v>-7.1457949934126243E-3</v>
      </c>
    </row>
    <row r="37" spans="2:37" x14ac:dyDescent="0.25">
      <c r="B37" t="str">
        <f t="shared" si="6"/>
        <v>01000</v>
      </c>
      <c r="D37" s="14">
        <f>D12*'2021'!D12</f>
        <v>0</v>
      </c>
      <c r="E37" s="14">
        <f>E12*'2021'!E12</f>
        <v>0</v>
      </c>
      <c r="F37" s="14">
        <f>F12*'2021'!F12</f>
        <v>0</v>
      </c>
      <c r="G37" s="14">
        <f>G12*'2021'!G12</f>
        <v>0</v>
      </c>
      <c r="H37" s="14">
        <f>H12*'2021'!H12</f>
        <v>0</v>
      </c>
      <c r="I37" s="14">
        <f>I12*'2021'!I12</f>
        <v>0</v>
      </c>
      <c r="J37" s="14">
        <f>J12*'2021'!J12</f>
        <v>0</v>
      </c>
      <c r="K37" s="14">
        <f>K12*'2021'!K12</f>
        <v>0</v>
      </c>
      <c r="L37" s="14">
        <f>L12*'2021'!L12</f>
        <v>1037</v>
      </c>
      <c r="M37" s="14">
        <f>M12*'2021'!M12</f>
        <v>1977.7109605000005</v>
      </c>
      <c r="N37" s="14">
        <f>N12*'2021'!N12</f>
        <v>581.07816620000017</v>
      </c>
      <c r="O37" s="14">
        <f>O12*'2021'!O12</f>
        <v>0</v>
      </c>
      <c r="P37" s="14">
        <f>P12*'2021'!P12</f>
        <v>79.900394000000006</v>
      </c>
      <c r="Q37" s="14">
        <f>Q12*'2021'!Q12</f>
        <v>0</v>
      </c>
      <c r="R37" s="14">
        <f>R12*'2021'!R12</f>
        <v>0</v>
      </c>
      <c r="S37" s="14">
        <f>S12*'2021'!S12</f>
        <v>0</v>
      </c>
      <c r="T37" s="14">
        <f>T12*'2021'!T12</f>
        <v>-3675.6887317000014</v>
      </c>
      <c r="U37" s="14">
        <f>U12*'2021'!U12</f>
        <v>0</v>
      </c>
      <c r="V37" s="14">
        <f>V12*'2021'!V12</f>
        <v>0</v>
      </c>
      <c r="W37" s="14">
        <f>W12*'2021'!W12</f>
        <v>0</v>
      </c>
      <c r="X37" s="14">
        <f>X12*'2021'!X12</f>
        <v>0</v>
      </c>
      <c r="Y37" s="14">
        <f>Y12*'2021'!Y12</f>
        <v>0</v>
      </c>
      <c r="Z37" s="14">
        <f>Z12*'2021'!Z12</f>
        <v>0</v>
      </c>
      <c r="AA37" s="14">
        <f>AA12*'2021'!AA12</f>
        <v>0</v>
      </c>
      <c r="AB37" s="14">
        <f>AB12*'2021'!AB12</f>
        <v>0</v>
      </c>
      <c r="AC37" s="14">
        <f>AC12*'2021'!AC12</f>
        <v>0</v>
      </c>
      <c r="AD37" s="14">
        <f>AD12*'2021'!AD12</f>
        <v>0</v>
      </c>
      <c r="AE37" s="14">
        <f>AE12*'2021'!AE12</f>
        <v>0</v>
      </c>
      <c r="AF37" s="14">
        <f>AF12*'2021'!AF12</f>
        <v>0</v>
      </c>
      <c r="AG37" s="14">
        <f>AG12*'2021'!AG12</f>
        <v>0</v>
      </c>
      <c r="AH37" s="14">
        <f>AH12*'2021'!AH12</f>
        <v>0</v>
      </c>
      <c r="AI37" s="14">
        <f>AI12*'2021'!AI12</f>
        <v>0</v>
      </c>
      <c r="AJ37" s="15">
        <f t="shared" si="7"/>
        <v>7.8899999925852171E-4</v>
      </c>
      <c r="AK37" s="13">
        <f t="shared" si="8"/>
        <v>2.4431026451726946E-8</v>
      </c>
    </row>
    <row r="38" spans="2:37" x14ac:dyDescent="0.25">
      <c r="B38" t="str">
        <f t="shared" si="6"/>
        <v>01001</v>
      </c>
      <c r="D38" s="14">
        <f>D13*'2021'!D13</f>
        <v>0</v>
      </c>
      <c r="E38" s="14">
        <f>E13*'2021'!E13</f>
        <v>0</v>
      </c>
      <c r="F38" s="14">
        <f>F13*'2021'!F13</f>
        <v>0</v>
      </c>
      <c r="G38" s="14">
        <f>G13*'2021'!G13</f>
        <v>0</v>
      </c>
      <c r="H38" s="14">
        <f>H13*'2021'!H13</f>
        <v>0</v>
      </c>
      <c r="I38" s="14">
        <f>I13*'2021'!I13</f>
        <v>0</v>
      </c>
      <c r="J38" s="14">
        <f>J13*'2021'!J13</f>
        <v>0</v>
      </c>
      <c r="K38" s="14">
        <f>K13*'2021'!K13</f>
        <v>0</v>
      </c>
      <c r="L38" s="14">
        <f>L13*'2021'!L13</f>
        <v>711.11568499999987</v>
      </c>
      <c r="M38" s="14">
        <f>M13*'2021'!M13</f>
        <v>2.9999999999999991</v>
      </c>
      <c r="N38" s="14">
        <f>N13*'2021'!N13</f>
        <v>200.32111919999997</v>
      </c>
      <c r="O38" s="14">
        <f>O13*'2021'!O13</f>
        <v>994.22948399999893</v>
      </c>
      <c r="P38" s="14">
        <f>P13*'2021'!P13</f>
        <v>95.356075000000033</v>
      </c>
      <c r="Q38" s="14">
        <f>Q13*'2021'!Q13</f>
        <v>279.4163650000001</v>
      </c>
      <c r="R38" s="14">
        <f>R13*'2021'!R13</f>
        <v>339.83236949999991</v>
      </c>
      <c r="S38" s="14">
        <f>S13*'2021'!S13</f>
        <v>0</v>
      </c>
      <c r="T38" s="14">
        <f>T13*'2021'!T13</f>
        <v>2.8480340000000002</v>
      </c>
      <c r="U38" s="14">
        <f>U13*'2021'!U13</f>
        <v>-1723.0694185000009</v>
      </c>
      <c r="V38" s="14">
        <f>V13*'2021'!V13</f>
        <v>-184.51573360000009</v>
      </c>
      <c r="W38" s="14">
        <f>W13*'2021'!W13</f>
        <v>0</v>
      </c>
      <c r="X38" s="14">
        <f>X13*'2021'!X13</f>
        <v>-3.7037448000000008</v>
      </c>
      <c r="Y38" s="14">
        <f>Y13*'2021'!Y13</f>
        <v>0</v>
      </c>
      <c r="Z38" s="14">
        <f>Z13*'2021'!Z13</f>
        <v>0</v>
      </c>
      <c r="AA38" s="14">
        <f>AA13*'2021'!AA13</f>
        <v>0</v>
      </c>
      <c r="AB38" s="14">
        <f>AB13*'2021'!AB13</f>
        <v>-743.42683800000009</v>
      </c>
      <c r="AC38" s="14">
        <f>AC13*'2021'!AC13</f>
        <v>0</v>
      </c>
      <c r="AD38" s="14">
        <f>AD13*'2021'!AD13</f>
        <v>0</v>
      </c>
      <c r="AE38" s="14">
        <f>AE13*'2021'!AE13</f>
        <v>0</v>
      </c>
      <c r="AF38" s="14">
        <f>AF13*'2021'!AF13</f>
        <v>0</v>
      </c>
      <c r="AG38" s="14">
        <f>AG13*'2021'!AG13</f>
        <v>0</v>
      </c>
      <c r="AH38" s="14">
        <f>AH13*'2021'!AH13</f>
        <v>0</v>
      </c>
      <c r="AI38" s="14">
        <f>AI13*'2021'!AI13</f>
        <v>0</v>
      </c>
      <c r="AJ38" s="15">
        <f t="shared" si="7"/>
        <v>-28.596603200002164</v>
      </c>
      <c r="AK38" s="13">
        <f t="shared" si="8"/>
        <v>-2.4012598203041534E-3</v>
      </c>
    </row>
    <row r="39" spans="2:37" x14ac:dyDescent="0.25">
      <c r="B39" t="str">
        <f t="shared" si="6"/>
        <v>01010</v>
      </c>
      <c r="D39" s="14">
        <f>D14*'2021'!D14</f>
        <v>0</v>
      </c>
      <c r="E39" s="14">
        <f>E14*'2021'!E14</f>
        <v>0</v>
      </c>
      <c r="F39" s="14">
        <f>F14*'2021'!F14</f>
        <v>0</v>
      </c>
      <c r="G39" s="14">
        <f>G14*'2021'!G14</f>
        <v>0</v>
      </c>
      <c r="H39" s="14">
        <f>H14*'2021'!H14</f>
        <v>0</v>
      </c>
      <c r="I39" s="14">
        <f>I14*'2021'!I14</f>
        <v>0</v>
      </c>
      <c r="J39" s="14">
        <f>J14*'2021'!J14</f>
        <v>0</v>
      </c>
      <c r="K39" s="14">
        <f>K14*'2021'!K14</f>
        <v>0</v>
      </c>
      <c r="L39" s="14">
        <f>L14*'2021'!L14</f>
        <v>235.89049729999996</v>
      </c>
      <c r="M39" s="14">
        <f>M14*'2021'!M14</f>
        <v>249.52638479999993</v>
      </c>
      <c r="N39" s="14">
        <f>N14*'2021'!N14</f>
        <v>238</v>
      </c>
      <c r="O39" s="14">
        <f>O14*'2021'!O14</f>
        <v>175.24781759999985</v>
      </c>
      <c r="P39" s="14">
        <f>P14*'2021'!P14</f>
        <v>31.798855000000003</v>
      </c>
      <c r="Q39" s="14">
        <f>Q14*'2021'!Q14</f>
        <v>156.53989580000001</v>
      </c>
      <c r="R39" s="14">
        <f>R14*'2021'!R14</f>
        <v>11.763756899999994</v>
      </c>
      <c r="S39" s="14">
        <f>S14*'2021'!S14</f>
        <v>0</v>
      </c>
      <c r="T39" s="14">
        <f>T14*'2021'!T14</f>
        <v>6.6933760000000007</v>
      </c>
      <c r="U39" s="14">
        <f>U14*'2021'!U14</f>
        <v>-17.149411400000009</v>
      </c>
      <c r="V39" s="14">
        <f>V14*'2021'!V14</f>
        <v>-851.24753280000027</v>
      </c>
      <c r="W39" s="14">
        <f>W14*'2021'!W14</f>
        <v>0</v>
      </c>
      <c r="X39" s="14">
        <f>X14*'2021'!X14</f>
        <v>-266.78312550000004</v>
      </c>
      <c r="Y39" s="14">
        <f>Y14*'2021'!Y14</f>
        <v>0</v>
      </c>
      <c r="Z39" s="14">
        <f>Z14*'2021'!Z14</f>
        <v>0</v>
      </c>
      <c r="AA39" s="14">
        <f>AA14*'2021'!AA14</f>
        <v>0</v>
      </c>
      <c r="AB39" s="14">
        <f>AB14*'2021'!AB14</f>
        <v>-22.692575400000003</v>
      </c>
      <c r="AC39" s="14">
        <f>AC14*'2021'!AC14</f>
        <v>0</v>
      </c>
      <c r="AD39" s="14">
        <f>AD14*'2021'!AD14</f>
        <v>0</v>
      </c>
      <c r="AE39" s="14">
        <f>AE14*'2021'!AE14</f>
        <v>0</v>
      </c>
      <c r="AF39" s="14">
        <f>AF14*'2021'!AF14</f>
        <v>0</v>
      </c>
      <c r="AG39" s="14">
        <f>AG14*'2021'!AG14</f>
        <v>0</v>
      </c>
      <c r="AH39" s="14">
        <f>AH14*'2021'!AH14</f>
        <v>0</v>
      </c>
      <c r="AI39" s="14">
        <f>AI14*'2021'!AI14</f>
        <v>0</v>
      </c>
      <c r="AJ39" s="15">
        <f t="shared" si="7"/>
        <v>-52.412061700000599</v>
      </c>
      <c r="AK39" s="13">
        <f t="shared" si="8"/>
        <v>-1.0465667272364337E-2</v>
      </c>
    </row>
    <row r="40" spans="2:37" x14ac:dyDescent="0.25">
      <c r="B40" t="str">
        <f t="shared" si="6"/>
        <v>01011</v>
      </c>
      <c r="D40" s="14">
        <f>D15*'2021'!D15</f>
        <v>0</v>
      </c>
      <c r="E40" s="14">
        <f>E15*'2021'!E15</f>
        <v>0</v>
      </c>
      <c r="F40" s="14">
        <f>F15*'2021'!F15</f>
        <v>0</v>
      </c>
      <c r="G40" s="14">
        <f>G15*'2021'!G15</f>
        <v>0</v>
      </c>
      <c r="H40" s="14">
        <f>H15*'2021'!H15</f>
        <v>0</v>
      </c>
      <c r="I40" s="14">
        <f>I15*'2021'!I15</f>
        <v>0</v>
      </c>
      <c r="J40" s="14">
        <f>J15*'2021'!J15</f>
        <v>0</v>
      </c>
      <c r="K40" s="14">
        <f>K15*'2021'!K15</f>
        <v>0</v>
      </c>
      <c r="L40" s="14">
        <f>L15*'2021'!L15</f>
        <v>303.7147099</v>
      </c>
      <c r="M40" s="14">
        <f>M15*'2021'!M15</f>
        <v>0</v>
      </c>
      <c r="N40" s="14">
        <f>N15*'2021'!N15</f>
        <v>83.293209600000012</v>
      </c>
      <c r="O40" s="14">
        <f>O15*'2021'!O15</f>
        <v>182</v>
      </c>
      <c r="P40" s="14">
        <f>P15*'2021'!P15</f>
        <v>46.166276200000006</v>
      </c>
      <c r="Q40" s="14">
        <f>Q15*'2021'!Q15</f>
        <v>150.52480780000002</v>
      </c>
      <c r="R40" s="14">
        <f>R15*'2021'!R15</f>
        <v>206.95283049999998</v>
      </c>
      <c r="S40" s="14">
        <f>S15*'2021'!S15</f>
        <v>518.99202449999996</v>
      </c>
      <c r="T40" s="14">
        <f>T15*'2021'!T15</f>
        <v>2.3072224000000006</v>
      </c>
      <c r="U40" s="14">
        <f>U15*'2021'!U15</f>
        <v>3.9756486000000004</v>
      </c>
      <c r="V40" s="14">
        <f>V15*'2021'!V15</f>
        <v>5.2204320000000015</v>
      </c>
      <c r="W40" s="14">
        <f>W15*'2021'!W15</f>
        <v>-839.13798000000008</v>
      </c>
      <c r="X40" s="14">
        <f>X15*'2021'!X15</f>
        <v>4.7264987000000023</v>
      </c>
      <c r="Y40" s="14">
        <f>Y15*'2021'!Y15</f>
        <v>-187.96255200000002</v>
      </c>
      <c r="Z40" s="14">
        <f>Z15*'2021'!Z15</f>
        <v>-95.33724799999996</v>
      </c>
      <c r="AA40" s="14">
        <f>AA15*'2021'!AA15</f>
        <v>0</v>
      </c>
      <c r="AB40" s="14">
        <f>AB15*'2021'!AB15</f>
        <v>0</v>
      </c>
      <c r="AC40" s="14">
        <f>AC15*'2021'!AC15</f>
        <v>-55.237958799999994</v>
      </c>
      <c r="AD40" s="14">
        <f>AD15*'2021'!AD15</f>
        <v>-391.42760459999994</v>
      </c>
      <c r="AE40" s="14">
        <f>AE15*'2021'!AE15</f>
        <v>0</v>
      </c>
      <c r="AF40" s="14">
        <f>AF15*'2021'!AF15</f>
        <v>-0.95237859999999985</v>
      </c>
      <c r="AG40" s="14">
        <f>AG15*'2021'!AG15</f>
        <v>0</v>
      </c>
      <c r="AH40" s="14">
        <f>AH15*'2021'!AH15</f>
        <v>0</v>
      </c>
      <c r="AI40" s="14">
        <f>AI15*'2021'!AI15</f>
        <v>0</v>
      </c>
      <c r="AJ40" s="15">
        <f t="shared" si="7"/>
        <v>-62.182061799999786</v>
      </c>
      <c r="AK40" s="13">
        <f t="shared" si="8"/>
        <v>-1.4487898835041889E-2</v>
      </c>
    </row>
    <row r="41" spans="2:37" x14ac:dyDescent="0.25">
      <c r="B41" t="str">
        <f t="shared" si="6"/>
        <v>01100</v>
      </c>
      <c r="D41" s="14">
        <f>D16*'2021'!D16</f>
        <v>0</v>
      </c>
      <c r="E41" s="14">
        <f>E16*'2021'!E16</f>
        <v>0</v>
      </c>
      <c r="F41" s="14">
        <f>F16*'2021'!F16</f>
        <v>0</v>
      </c>
      <c r="G41" s="14">
        <f>G16*'2021'!G16</f>
        <v>0</v>
      </c>
      <c r="H41" s="14">
        <f>H16*'2021'!H16</f>
        <v>0</v>
      </c>
      <c r="I41" s="14">
        <f>I16*'2021'!I16</f>
        <v>0</v>
      </c>
      <c r="J41" s="14">
        <f>J16*'2021'!J16</f>
        <v>0</v>
      </c>
      <c r="K41" s="14">
        <f>K16*'2021'!K16</f>
        <v>0</v>
      </c>
      <c r="L41" s="14">
        <f>L16*'2021'!L16</f>
        <v>61.626564499999986</v>
      </c>
      <c r="M41" s="14">
        <f>M16*'2021'!M16</f>
        <v>151.69182499999994</v>
      </c>
      <c r="N41" s="14">
        <f>N16*'2021'!N16</f>
        <v>58.971709800000006</v>
      </c>
      <c r="O41" s="14">
        <f>O16*'2021'!O16</f>
        <v>0</v>
      </c>
      <c r="P41" s="14">
        <f>P16*'2021'!P16</f>
        <v>8</v>
      </c>
      <c r="Q41" s="14">
        <f>Q16*'2021'!Q16</f>
        <v>53.699578499999966</v>
      </c>
      <c r="R41" s="14">
        <f>R16*'2021'!R16</f>
        <v>0</v>
      </c>
      <c r="S41" s="14">
        <f>S16*'2021'!S16</f>
        <v>0</v>
      </c>
      <c r="T41" s="14">
        <f>T16*'2021'!T16</f>
        <v>46.695794200000037</v>
      </c>
      <c r="U41" s="14">
        <f>U16*'2021'!U16</f>
        <v>-33.992961500000007</v>
      </c>
      <c r="V41" s="14">
        <f>V16*'2021'!V16</f>
        <v>-4.4403898000000002</v>
      </c>
      <c r="W41" s="14">
        <f>W16*'2021'!W16</f>
        <v>0</v>
      </c>
      <c r="X41" s="14">
        <f>X16*'2021'!X16</f>
        <v>-334.40011829999997</v>
      </c>
      <c r="Y41" s="14">
        <f>Y16*'2021'!Y16</f>
        <v>0</v>
      </c>
      <c r="Z41" s="14">
        <f>Z16*'2021'!Z16</f>
        <v>0</v>
      </c>
      <c r="AA41" s="14">
        <f>AA16*'2021'!AA16</f>
        <v>0</v>
      </c>
      <c r="AB41" s="14">
        <f>AB16*'2021'!AB16</f>
        <v>-11.515295999999999</v>
      </c>
      <c r="AC41" s="14">
        <f>AC16*'2021'!AC16</f>
        <v>0</v>
      </c>
      <c r="AD41" s="14">
        <f>AD16*'2021'!AD16</f>
        <v>0</v>
      </c>
      <c r="AE41" s="14">
        <f>AE16*'2021'!AE16</f>
        <v>0</v>
      </c>
      <c r="AF41" s="14">
        <f>AF16*'2021'!AF16</f>
        <v>0</v>
      </c>
      <c r="AG41" s="14">
        <f>AG16*'2021'!AG16</f>
        <v>0</v>
      </c>
      <c r="AH41" s="14">
        <f>AH16*'2021'!AH16</f>
        <v>0</v>
      </c>
      <c r="AI41" s="14">
        <f>AI16*'2021'!AI16</f>
        <v>0</v>
      </c>
      <c r="AJ41" s="15">
        <f t="shared" si="7"/>
        <v>-3.6632936000000527</v>
      </c>
      <c r="AK41" s="13">
        <f t="shared" si="8"/>
        <v>-2.2895585000000328E-3</v>
      </c>
    </row>
    <row r="42" spans="2:37" x14ac:dyDescent="0.25">
      <c r="B42" t="str">
        <f t="shared" si="6"/>
        <v>01101</v>
      </c>
      <c r="D42" s="14">
        <f>D17*'2021'!D17</f>
        <v>0</v>
      </c>
      <c r="E42" s="14">
        <f>E17*'2021'!E17</f>
        <v>0</v>
      </c>
      <c r="F42" s="14">
        <f>F17*'2021'!F17</f>
        <v>0</v>
      </c>
      <c r="G42" s="14">
        <f>G17*'2021'!G17</f>
        <v>0</v>
      </c>
      <c r="H42" s="14">
        <f>H17*'2021'!H17</f>
        <v>0</v>
      </c>
      <c r="I42" s="14">
        <f>I17*'2021'!I17</f>
        <v>0</v>
      </c>
      <c r="J42" s="14">
        <f>J17*'2021'!J17</f>
        <v>0</v>
      </c>
      <c r="K42" s="14">
        <f>K17*'2021'!K17</f>
        <v>0</v>
      </c>
      <c r="L42" s="14">
        <f>L17*'2021'!L17</f>
        <v>127.16200299999998</v>
      </c>
      <c r="M42" s="14">
        <f>M17*'2021'!M17</f>
        <v>0</v>
      </c>
      <c r="N42" s="14">
        <f>N17*'2021'!N17</f>
        <v>33.032236599999997</v>
      </c>
      <c r="O42" s="14">
        <f>O17*'2021'!O17</f>
        <v>193.84609529999994</v>
      </c>
      <c r="P42" s="14">
        <f>P17*'2021'!P17</f>
        <v>15.9607755</v>
      </c>
      <c r="Q42" s="14">
        <f>Q17*'2021'!Q17</f>
        <v>54</v>
      </c>
      <c r="R42" s="14">
        <f>R17*'2021'!R17</f>
        <v>68.026706999999973</v>
      </c>
      <c r="S42" s="14">
        <f>S17*'2021'!S17</f>
        <v>78.366443999999959</v>
      </c>
      <c r="T42" s="14">
        <f>T17*'2021'!T17</f>
        <v>0.91980130000000004</v>
      </c>
      <c r="U42" s="14">
        <f>U17*'2021'!U17</f>
        <v>14.999334999999938</v>
      </c>
      <c r="V42" s="14">
        <f>V17*'2021'!V17</f>
        <v>15.437669099999987</v>
      </c>
      <c r="W42" s="14">
        <f>W17*'2021'!W17</f>
        <v>-15.845867400000007</v>
      </c>
      <c r="X42" s="14">
        <f>X17*'2021'!X17</f>
        <v>0.58761539999999979</v>
      </c>
      <c r="Y42" s="14">
        <f>Y17*'2021'!Y17</f>
        <v>-320.40712360000015</v>
      </c>
      <c r="Z42" s="14">
        <f>Z17*'2021'!Z17</f>
        <v>-26.529565500000004</v>
      </c>
      <c r="AA42" s="14">
        <f>AA17*'2021'!AA17</f>
        <v>0</v>
      </c>
      <c r="AB42" s="14">
        <f>AB17*'2021'!AB17</f>
        <v>-0.74475400000000036</v>
      </c>
      <c r="AC42" s="14">
        <f>AC17*'2021'!AC17</f>
        <v>-16.606639000000001</v>
      </c>
      <c r="AD42" s="14">
        <f>AD17*'2021'!AD17</f>
        <v>-3.5585655000000003</v>
      </c>
      <c r="AE42" s="14">
        <f>AE17*'2021'!AE17</f>
        <v>0</v>
      </c>
      <c r="AF42" s="14">
        <f>AF17*'2021'!AF17</f>
        <v>-243.16864250000003</v>
      </c>
      <c r="AG42" s="14">
        <f>AG17*'2021'!AG17</f>
        <v>0</v>
      </c>
      <c r="AH42" s="14">
        <f>AH17*'2021'!AH17</f>
        <v>0</v>
      </c>
      <c r="AI42" s="14">
        <f>AI17*'2021'!AI17</f>
        <v>0</v>
      </c>
      <c r="AJ42" s="15">
        <f t="shared" si="7"/>
        <v>-24.522475300000281</v>
      </c>
      <c r="AK42" s="13">
        <f t="shared" si="8"/>
        <v>-1.3638751557286029E-2</v>
      </c>
    </row>
    <row r="43" spans="2:37" x14ac:dyDescent="0.25">
      <c r="B43" t="str">
        <f t="shared" si="6"/>
        <v>01110</v>
      </c>
      <c r="D43" s="14">
        <f>D18*'2021'!D18</f>
        <v>0</v>
      </c>
      <c r="E43" s="14">
        <f>E18*'2021'!E18</f>
        <v>0</v>
      </c>
      <c r="F43" s="14">
        <f>F18*'2021'!F18</f>
        <v>0</v>
      </c>
      <c r="G43" s="14">
        <f>G18*'2021'!G18</f>
        <v>0</v>
      </c>
      <c r="H43" s="14">
        <f>H18*'2021'!H18</f>
        <v>0</v>
      </c>
      <c r="I43" s="14">
        <f>I18*'2021'!I18</f>
        <v>0</v>
      </c>
      <c r="J43" s="14">
        <f>J18*'2021'!J18</f>
        <v>0</v>
      </c>
      <c r="K43" s="14">
        <f>K18*'2021'!K18</f>
        <v>0</v>
      </c>
      <c r="L43" s="14">
        <f>L18*'2021'!L18</f>
        <v>68.082191999999992</v>
      </c>
      <c r="M43" s="14">
        <f>M18*'2021'!M18</f>
        <v>92.539480000000012</v>
      </c>
      <c r="N43" s="14">
        <f>N18*'2021'!N18</f>
        <v>98.101072500000001</v>
      </c>
      <c r="O43" s="14">
        <f>O18*'2021'!O18</f>
        <v>5.7273909999999972</v>
      </c>
      <c r="P43" s="14">
        <f>P18*'2021'!P18</f>
        <v>7.8998425000000028</v>
      </c>
      <c r="Q43" s="14">
        <f>Q18*'2021'!Q18</f>
        <v>107.27101700000006</v>
      </c>
      <c r="R43" s="14">
        <f>R18*'2021'!R18</f>
        <v>5</v>
      </c>
      <c r="S43" s="14">
        <f>S18*'2021'!S18</f>
        <v>80.313480000000027</v>
      </c>
      <c r="T43" s="14">
        <f>T18*'2021'!T18</f>
        <v>3.6317515000000009</v>
      </c>
      <c r="U43" s="14">
        <f>U18*'2021'!U18</f>
        <v>-0.42985800000000007</v>
      </c>
      <c r="V43" s="14">
        <f>V18*'2021'!V18</f>
        <v>-7.0141040999999928</v>
      </c>
      <c r="W43" s="14">
        <f>W18*'2021'!W18</f>
        <v>-16.446918600000004</v>
      </c>
      <c r="X43" s="14">
        <f>X18*'2021'!X18</f>
        <v>0.5156304000000711</v>
      </c>
      <c r="Y43" s="14">
        <f>Y18*'2021'!Y18</f>
        <v>-36.219094799999993</v>
      </c>
      <c r="Z43" s="14">
        <f>Z18*'2021'!Z18</f>
        <v>-402.46040659999983</v>
      </c>
      <c r="AA43" s="14">
        <f>AA18*'2021'!AA18</f>
        <v>0</v>
      </c>
      <c r="AB43" s="14">
        <f>AB18*'2021'!AB18</f>
        <v>-2.6574764999999996</v>
      </c>
      <c r="AC43" s="14">
        <f>AC18*'2021'!AC18</f>
        <v>-2.7592789999999994</v>
      </c>
      <c r="AD43" s="14">
        <f>AD18*'2021'!AD18</f>
        <v>-11.037115999999997</v>
      </c>
      <c r="AE43" s="14">
        <f>AE18*'2021'!AE18</f>
        <v>0</v>
      </c>
      <c r="AF43" s="14">
        <f>AF18*'2021'!AF18</f>
        <v>-2.7592789999999994</v>
      </c>
      <c r="AG43" s="14">
        <f>AG18*'2021'!AG18</f>
        <v>0</v>
      </c>
      <c r="AH43" s="14">
        <f>AH18*'2021'!AH18</f>
        <v>0</v>
      </c>
      <c r="AI43" s="14">
        <f>AI18*'2021'!AI18</f>
        <v>0</v>
      </c>
      <c r="AJ43" s="15">
        <f t="shared" si="7"/>
        <v>-12.701675699999738</v>
      </c>
      <c r="AK43" s="13">
        <f t="shared" si="8"/>
        <v>-8.2105208144794689E-3</v>
      </c>
    </row>
    <row r="44" spans="2:37" x14ac:dyDescent="0.25">
      <c r="B44" t="str">
        <f t="shared" si="6"/>
        <v>01111</v>
      </c>
      <c r="D44" s="14">
        <f>D19*'2021'!D19</f>
        <v>0</v>
      </c>
      <c r="E44" s="14">
        <f>E19*'2021'!E19</f>
        <v>0</v>
      </c>
      <c r="F44" s="14">
        <f>F19*'2021'!F19</f>
        <v>0</v>
      </c>
      <c r="G44" s="14">
        <f>G19*'2021'!G19</f>
        <v>0</v>
      </c>
      <c r="H44" s="14">
        <f>H19*'2021'!H19</f>
        <v>0</v>
      </c>
      <c r="I44" s="14">
        <f>I19*'2021'!I19</f>
        <v>0</v>
      </c>
      <c r="J44" s="14">
        <f>J19*'2021'!J19</f>
        <v>0</v>
      </c>
      <c r="K44" s="14">
        <f>K19*'2021'!K19</f>
        <v>0</v>
      </c>
      <c r="L44" s="14">
        <f>L19*'2021'!L19</f>
        <v>123.949152</v>
      </c>
      <c r="M44" s="14">
        <f>M19*'2021'!M19</f>
        <v>0</v>
      </c>
      <c r="N44" s="14">
        <f>N19*'2021'!N19</f>
        <v>51.977023799999998</v>
      </c>
      <c r="O44" s="14">
        <f>O19*'2021'!O19</f>
        <v>77.094307100000037</v>
      </c>
      <c r="P44" s="14">
        <f>P19*'2021'!P19</f>
        <v>22.710705000000004</v>
      </c>
      <c r="Q44" s="14">
        <f>Q19*'2021'!Q19</f>
        <v>71.887248000000014</v>
      </c>
      <c r="R44" s="14">
        <f>R19*'2021'!R19</f>
        <v>145.43477199999998</v>
      </c>
      <c r="S44" s="14">
        <f>S19*'2021'!S19</f>
        <v>304</v>
      </c>
      <c r="T44" s="14">
        <f>T19*'2021'!T19</f>
        <v>1.4174522999999999</v>
      </c>
      <c r="U44" s="14">
        <f>U19*'2021'!U19</f>
        <v>1.0956320000000002</v>
      </c>
      <c r="V44" s="14">
        <f>V19*'2021'!V19</f>
        <v>3.1836455000000008</v>
      </c>
      <c r="W44" s="14">
        <f>W19*'2021'!W19</f>
        <v>-25.155574099999946</v>
      </c>
      <c r="X44" s="14">
        <f>X19*'2021'!X19</f>
        <v>2.7740912000000009</v>
      </c>
      <c r="Y44" s="14">
        <f>Y19*'2021'!Y19</f>
        <v>-24.832323000000002</v>
      </c>
      <c r="Z44" s="14">
        <f>Z19*'2021'!Z19</f>
        <v>-5.2380092999999874</v>
      </c>
      <c r="AA44" s="14">
        <f>AA19*'2021'!AA19</f>
        <v>-491.71316839999986</v>
      </c>
      <c r="AB44" s="14">
        <f>AB19*'2021'!AB19</f>
        <v>0</v>
      </c>
      <c r="AC44" s="14">
        <f>AC19*'2021'!AC19</f>
        <v>-5.5082999999999984</v>
      </c>
      <c r="AD44" s="14">
        <f>AD19*'2021'!AD19</f>
        <v>0</v>
      </c>
      <c r="AE44" s="14">
        <f>AE19*'2021'!AE19</f>
        <v>-45.590512499999996</v>
      </c>
      <c r="AF44" s="14">
        <f>AF19*'2021'!AF19</f>
        <v>-0.6885374999999998</v>
      </c>
      <c r="AG44" s="14">
        <f>AG19*'2021'!AG19</f>
        <v>-30.393674999999995</v>
      </c>
      <c r="AH44" s="14">
        <f>AH19*'2021'!AH19</f>
        <v>-197.55888749999997</v>
      </c>
      <c r="AI44" s="14">
        <f>AI19*'2021'!AI19</f>
        <v>0</v>
      </c>
      <c r="AJ44" s="15">
        <f t="shared" si="7"/>
        <v>-21.154958399999487</v>
      </c>
      <c r="AK44" s="13">
        <f t="shared" si="8"/>
        <v>-1.2759323522315734E-2</v>
      </c>
    </row>
    <row r="45" spans="2:37" x14ac:dyDescent="0.25">
      <c r="B45" t="str">
        <f t="shared" si="6"/>
        <v>10000</v>
      </c>
      <c r="D45" s="14">
        <f>D20*'2021'!D20</f>
        <v>0</v>
      </c>
      <c r="E45" s="14">
        <f>E20*'2021'!E20</f>
        <v>0</v>
      </c>
      <c r="F45" s="14">
        <f>F20*'2021'!F20</f>
        <v>0</v>
      </c>
      <c r="G45" s="14">
        <f>G20*'2021'!G20</f>
        <v>0</v>
      </c>
      <c r="H45" s="14">
        <f>H20*'2021'!H20</f>
        <v>0</v>
      </c>
      <c r="I45" s="14">
        <f>I20*'2021'!I20</f>
        <v>0</v>
      </c>
      <c r="J45" s="14">
        <f>J20*'2021'!J20</f>
        <v>0</v>
      </c>
      <c r="K45" s="14">
        <f>K20*'2021'!K20</f>
        <v>0</v>
      </c>
      <c r="L45" s="14">
        <f>L20*'2021'!L20</f>
        <v>0</v>
      </c>
      <c r="M45" s="14">
        <f>M20*'2021'!M20</f>
        <v>0</v>
      </c>
      <c r="N45" s="14">
        <f>N20*'2021'!N20</f>
        <v>0</v>
      </c>
      <c r="O45" s="14">
        <f>O20*'2021'!O20</f>
        <v>0</v>
      </c>
      <c r="P45" s="14">
        <f>P20*'2021'!P20</f>
        <v>0</v>
      </c>
      <c r="Q45" s="14">
        <f>Q20*'2021'!Q20</f>
        <v>0</v>
      </c>
      <c r="R45" s="14">
        <f>R20*'2021'!R20</f>
        <v>0</v>
      </c>
      <c r="S45" s="14">
        <f>S20*'2021'!S20</f>
        <v>0</v>
      </c>
      <c r="T45" s="14">
        <f>T20*'2021'!T20</f>
        <v>841</v>
      </c>
      <c r="U45" s="14">
        <f>U20*'2021'!U20</f>
        <v>788.57002129999853</v>
      </c>
      <c r="V45" s="14">
        <f>V20*'2021'!V20</f>
        <v>243.39724799999982</v>
      </c>
      <c r="W45" s="14">
        <f>W20*'2021'!W20</f>
        <v>0</v>
      </c>
      <c r="X45" s="14">
        <f>X20*'2021'!X20</f>
        <v>23.189921999999989</v>
      </c>
      <c r="Y45" s="14">
        <f>Y20*'2021'!Y20</f>
        <v>0</v>
      </c>
      <c r="Z45" s="14">
        <f>Z20*'2021'!Z20</f>
        <v>0</v>
      </c>
      <c r="AA45" s="14">
        <f>AA20*'2021'!AA20</f>
        <v>0</v>
      </c>
      <c r="AB45" s="14">
        <f>AB20*'2021'!AB20</f>
        <v>-1896.1575219999984</v>
      </c>
      <c r="AC45" s="14">
        <f>AC20*'2021'!AC20</f>
        <v>0</v>
      </c>
      <c r="AD45" s="14">
        <f>AD20*'2021'!AD20</f>
        <v>0</v>
      </c>
      <c r="AE45" s="14">
        <f>AE20*'2021'!AE20</f>
        <v>0</v>
      </c>
      <c r="AF45" s="14">
        <f>AF20*'2021'!AF20</f>
        <v>0</v>
      </c>
      <c r="AG45" s="14">
        <f>AG20*'2021'!AG20</f>
        <v>0</v>
      </c>
      <c r="AH45" s="14">
        <f>AH20*'2021'!AH20</f>
        <v>0</v>
      </c>
      <c r="AI45" s="14">
        <f>AI20*'2021'!AI20</f>
        <v>0</v>
      </c>
      <c r="AJ45" s="15">
        <f t="shared" si="7"/>
        <v>-3.3069999994950194E-4</v>
      </c>
      <c r="AK45" s="13">
        <f t="shared" si="8"/>
        <v>-1.2731962730018556E-8</v>
      </c>
    </row>
    <row r="46" spans="2:37" x14ac:dyDescent="0.25">
      <c r="B46" t="str">
        <f t="shared" si="6"/>
        <v>10001</v>
      </c>
      <c r="D46" s="14">
        <f>D21*'2021'!D21</f>
        <v>0</v>
      </c>
      <c r="E46" s="14">
        <f>E21*'2021'!E21</f>
        <v>0</v>
      </c>
      <c r="F46" s="14">
        <f>F21*'2021'!F21</f>
        <v>0</v>
      </c>
      <c r="G46" s="14">
        <f>G21*'2021'!G21</f>
        <v>0</v>
      </c>
      <c r="H46" s="14">
        <f>H21*'2021'!H21</f>
        <v>0</v>
      </c>
      <c r="I46" s="14">
        <f>I21*'2021'!I21</f>
        <v>0</v>
      </c>
      <c r="J46" s="14">
        <f>J21*'2021'!J21</f>
        <v>0</v>
      </c>
      <c r="K46" s="14">
        <f>K21*'2021'!K21</f>
        <v>0</v>
      </c>
      <c r="L46" s="14">
        <f>L21*'2021'!L21</f>
        <v>0</v>
      </c>
      <c r="M46" s="14">
        <f>M21*'2021'!M21</f>
        <v>0</v>
      </c>
      <c r="N46" s="14">
        <f>N21*'2021'!N21</f>
        <v>0</v>
      </c>
      <c r="O46" s="14">
        <f>O21*'2021'!O21</f>
        <v>0</v>
      </c>
      <c r="P46" s="14">
        <f>P21*'2021'!P21</f>
        <v>0</v>
      </c>
      <c r="Q46" s="14">
        <f>Q21*'2021'!Q21</f>
        <v>0</v>
      </c>
      <c r="R46" s="14">
        <f>R21*'2021'!R21</f>
        <v>0</v>
      </c>
      <c r="S46" s="14">
        <f>S21*'2021'!S21</f>
        <v>0</v>
      </c>
      <c r="T46" s="14">
        <f>T21*'2021'!T21</f>
        <v>727.28852070000005</v>
      </c>
      <c r="U46" s="14">
        <f>U21*'2021'!U21</f>
        <v>9</v>
      </c>
      <c r="V46" s="14">
        <f>V21*'2021'!V21</f>
        <v>265.69479640000003</v>
      </c>
      <c r="W46" s="14">
        <f>W21*'2021'!W21</f>
        <v>507.80507959999989</v>
      </c>
      <c r="X46" s="14">
        <f>X21*'2021'!X21</f>
        <v>80.199476000000004</v>
      </c>
      <c r="Y46" s="14">
        <f>Y21*'2021'!Y21</f>
        <v>145.23905219999995</v>
      </c>
      <c r="Z46" s="14">
        <f>Z21*'2021'!Z21</f>
        <v>88.991407700000039</v>
      </c>
      <c r="AA46" s="14">
        <f>AA21*'2021'!AA21</f>
        <v>0</v>
      </c>
      <c r="AB46" s="14">
        <f>AB21*'2021'!AB21</f>
        <v>6.8728185000000011</v>
      </c>
      <c r="AC46" s="14">
        <f>AC21*'2021'!AC21</f>
        <v>-1926.753731999999</v>
      </c>
      <c r="AD46" s="14">
        <f>AD21*'2021'!AD21</f>
        <v>-5.9088374999999971</v>
      </c>
      <c r="AE46" s="14">
        <f>AE21*'2021'!AE21</f>
        <v>0</v>
      </c>
      <c r="AF46" s="14">
        <f>AF21*'2021'!AF21</f>
        <v>-1.6544744999999992</v>
      </c>
      <c r="AG46" s="14">
        <f>AG21*'2021'!AG21</f>
        <v>0</v>
      </c>
      <c r="AH46" s="14">
        <f>AH21*'2021'!AH21</f>
        <v>0</v>
      </c>
      <c r="AI46" s="14">
        <f>AI21*'2021'!AI21</f>
        <v>0</v>
      </c>
      <c r="AJ46" s="15">
        <f t="shared" si="7"/>
        <v>-103.22589289999928</v>
      </c>
      <c r="AK46" s="13">
        <f t="shared" si="8"/>
        <v>-8.688316884100605E-3</v>
      </c>
    </row>
    <row r="47" spans="2:37" x14ac:dyDescent="0.25">
      <c r="B47" t="str">
        <f t="shared" si="6"/>
        <v>10010</v>
      </c>
      <c r="D47" s="14">
        <f>D22*'2021'!D22</f>
        <v>0</v>
      </c>
      <c r="E47" s="14">
        <f>E22*'2021'!E22</f>
        <v>0</v>
      </c>
      <c r="F47" s="14">
        <f>F22*'2021'!F22</f>
        <v>0</v>
      </c>
      <c r="G47" s="14">
        <f>G22*'2021'!G22</f>
        <v>0</v>
      </c>
      <c r="H47" s="14">
        <f>H22*'2021'!H22</f>
        <v>0</v>
      </c>
      <c r="I47" s="14">
        <f>I22*'2021'!I22</f>
        <v>0</v>
      </c>
      <c r="J47" s="14">
        <f>J22*'2021'!J22</f>
        <v>0</v>
      </c>
      <c r="K47" s="14">
        <f>K22*'2021'!K22</f>
        <v>0</v>
      </c>
      <c r="L47" s="14">
        <f>L22*'2021'!L22</f>
        <v>0</v>
      </c>
      <c r="M47" s="14">
        <f>M22*'2021'!M22</f>
        <v>0</v>
      </c>
      <c r="N47" s="14">
        <f>N22*'2021'!N22</f>
        <v>0</v>
      </c>
      <c r="O47" s="14">
        <f>O22*'2021'!O22</f>
        <v>0</v>
      </c>
      <c r="P47" s="14">
        <f>P22*'2021'!P22</f>
        <v>0</v>
      </c>
      <c r="Q47" s="14">
        <f>Q22*'2021'!Q22</f>
        <v>0</v>
      </c>
      <c r="R47" s="14">
        <f>R22*'2021'!R22</f>
        <v>0</v>
      </c>
      <c r="S47" s="14">
        <f>S22*'2021'!S22</f>
        <v>0</v>
      </c>
      <c r="T47" s="14">
        <f>T22*'2021'!T22</f>
        <v>309.84583680000003</v>
      </c>
      <c r="U47" s="14">
        <f>U22*'2021'!U22</f>
        <v>470.12084039999996</v>
      </c>
      <c r="V47" s="14">
        <f>V22*'2021'!V22</f>
        <v>336</v>
      </c>
      <c r="W47" s="14">
        <f>W22*'2021'!W22</f>
        <v>138.96733759999987</v>
      </c>
      <c r="X47" s="14">
        <f>X22*'2021'!X22</f>
        <v>42.271748000000002</v>
      </c>
      <c r="Y47" s="14">
        <f>Y22*'2021'!Y22</f>
        <v>39.362767499999968</v>
      </c>
      <c r="Z47" s="14">
        <f>Z22*'2021'!Z22</f>
        <v>0.81412800000000018</v>
      </c>
      <c r="AA47" s="14">
        <f>AA22*'2021'!AA22</f>
        <v>0</v>
      </c>
      <c r="AB47" s="14">
        <f>AB22*'2021'!AB22</f>
        <v>10.121001</v>
      </c>
      <c r="AC47" s="14">
        <f>AC22*'2021'!AC22</f>
        <v>-10.733797799999998</v>
      </c>
      <c r="AD47" s="14">
        <f>AD22*'2021'!AD22</f>
        <v>-1356.0364553999998</v>
      </c>
      <c r="AE47" s="14">
        <f>AE22*'2021'!AE22</f>
        <v>0</v>
      </c>
      <c r="AF47" s="14">
        <f>AF22*'2021'!AF22</f>
        <v>0</v>
      </c>
      <c r="AG47" s="14">
        <f>AG22*'2021'!AG22</f>
        <v>0</v>
      </c>
      <c r="AH47" s="14">
        <f>AH22*'2021'!AH22</f>
        <v>0</v>
      </c>
      <c r="AI47" s="14">
        <f>AI22*'2021'!AI22</f>
        <v>0</v>
      </c>
      <c r="AJ47" s="15">
        <f t="shared" si="7"/>
        <v>-19.266593900000089</v>
      </c>
      <c r="AK47" s="13">
        <f t="shared" si="8"/>
        <v>-2.9736987035036406E-3</v>
      </c>
    </row>
    <row r="48" spans="2:37" x14ac:dyDescent="0.25">
      <c r="B48" t="str">
        <f t="shared" si="6"/>
        <v>10011</v>
      </c>
      <c r="D48" s="14">
        <f>D23*'2021'!D23</f>
        <v>0</v>
      </c>
      <c r="E48" s="14">
        <f>E23*'2021'!E23</f>
        <v>0</v>
      </c>
      <c r="F48" s="14">
        <f>F23*'2021'!F23</f>
        <v>0</v>
      </c>
      <c r="G48" s="14">
        <f>G23*'2021'!G23</f>
        <v>0</v>
      </c>
      <c r="H48" s="14">
        <f>H23*'2021'!H23</f>
        <v>0</v>
      </c>
      <c r="I48" s="14">
        <f>I23*'2021'!I23</f>
        <v>0</v>
      </c>
      <c r="J48" s="14">
        <f>J23*'2021'!J23</f>
        <v>0</v>
      </c>
      <c r="K48" s="14">
        <f>K23*'2021'!K23</f>
        <v>0</v>
      </c>
      <c r="L48" s="14">
        <f>L23*'2021'!L23</f>
        <v>0</v>
      </c>
      <c r="M48" s="14">
        <f>M23*'2021'!M23</f>
        <v>0</v>
      </c>
      <c r="N48" s="14">
        <f>N23*'2021'!N23</f>
        <v>0</v>
      </c>
      <c r="O48" s="14">
        <f>O23*'2021'!O23</f>
        <v>0</v>
      </c>
      <c r="P48" s="14">
        <f>P23*'2021'!P23</f>
        <v>0</v>
      </c>
      <c r="Q48" s="14">
        <f>Q23*'2021'!Q23</f>
        <v>0</v>
      </c>
      <c r="R48" s="14">
        <f>R23*'2021'!R23</f>
        <v>0</v>
      </c>
      <c r="S48" s="14">
        <f>S23*'2021'!S23</f>
        <v>0</v>
      </c>
      <c r="T48" s="14">
        <f>T23*'2021'!T23</f>
        <v>377.52972399999999</v>
      </c>
      <c r="U48" s="14">
        <f>U23*'2021'!U23</f>
        <v>3.5408634000000001</v>
      </c>
      <c r="V48" s="14">
        <f>V23*'2021'!V23</f>
        <v>252.87089280000001</v>
      </c>
      <c r="W48" s="14">
        <f>W23*'2021'!W23</f>
        <v>229</v>
      </c>
      <c r="X48" s="14">
        <f>X23*'2021'!X23</f>
        <v>63.232570500000008</v>
      </c>
      <c r="Y48" s="14">
        <f>Y23*'2021'!Y23</f>
        <v>275.4558745999999</v>
      </c>
      <c r="Z48" s="14">
        <f>Z23*'2021'!Z23</f>
        <v>132.29433359999996</v>
      </c>
      <c r="AA48" s="14">
        <f>AA23*'2021'!AA23</f>
        <v>268.92963899999984</v>
      </c>
      <c r="AB48" s="14">
        <f>AB23*'2021'!AB23</f>
        <v>9.2044692000000019</v>
      </c>
      <c r="AC48" s="14">
        <f>AC23*'2021'!AC23</f>
        <v>38.453630400000009</v>
      </c>
      <c r="AD48" s="14">
        <f>AD23*'2021'!AD23</f>
        <v>3.204469200000001</v>
      </c>
      <c r="AE48" s="14">
        <f>AE23*'2021'!AE23</f>
        <v>-1684.7732287999993</v>
      </c>
      <c r="AF48" s="14">
        <f>AF23*'2021'!AF23</f>
        <v>0.53407820000000017</v>
      </c>
      <c r="AG48" s="14">
        <f>AG23*'2021'!AG23</f>
        <v>-0.93184359999999966</v>
      </c>
      <c r="AH48" s="14">
        <f>AH23*'2021'!AH23</f>
        <v>0</v>
      </c>
      <c r="AI48" s="14">
        <f>AI23*'2021'!AI23</f>
        <v>0</v>
      </c>
      <c r="AJ48" s="15">
        <f t="shared" si="7"/>
        <v>-31.454527499999788</v>
      </c>
      <c r="AK48" s="13">
        <f t="shared" si="8"/>
        <v>-5.8782521958512029E-3</v>
      </c>
    </row>
    <row r="49" spans="2:37" x14ac:dyDescent="0.25">
      <c r="B49" t="str">
        <f t="shared" si="6"/>
        <v>10100</v>
      </c>
      <c r="D49" s="14">
        <f>D24*'2021'!D24</f>
        <v>0</v>
      </c>
      <c r="E49" s="14">
        <f>E24*'2021'!E24</f>
        <v>0</v>
      </c>
      <c r="F49" s="14">
        <f>F24*'2021'!F24</f>
        <v>0</v>
      </c>
      <c r="G49" s="14">
        <f>G24*'2021'!G24</f>
        <v>0</v>
      </c>
      <c r="H49" s="14">
        <f>H24*'2021'!H24</f>
        <v>0</v>
      </c>
      <c r="I49" s="14">
        <f>I24*'2021'!I24</f>
        <v>0</v>
      </c>
      <c r="J49" s="14">
        <f>J24*'2021'!J24</f>
        <v>0</v>
      </c>
      <c r="K49" s="14">
        <f>K24*'2021'!K24</f>
        <v>0</v>
      </c>
      <c r="L49" s="14">
        <f>L24*'2021'!L24</f>
        <v>0</v>
      </c>
      <c r="M49" s="14">
        <f>M24*'2021'!M24</f>
        <v>0</v>
      </c>
      <c r="N49" s="14">
        <f>N24*'2021'!N24</f>
        <v>0</v>
      </c>
      <c r="O49" s="14">
        <f>O24*'2021'!O24</f>
        <v>0</v>
      </c>
      <c r="P49" s="14">
        <f>P24*'2021'!P24</f>
        <v>0</v>
      </c>
      <c r="Q49" s="14">
        <f>Q24*'2021'!Q24</f>
        <v>0</v>
      </c>
      <c r="R49" s="14">
        <f>R24*'2021'!R24</f>
        <v>0</v>
      </c>
      <c r="S49" s="14">
        <f>S24*'2021'!S24</f>
        <v>0</v>
      </c>
      <c r="T49" s="14">
        <f>T24*'2021'!T24</f>
        <v>146.5340075</v>
      </c>
      <c r="U49" s="14">
        <f>U24*'2021'!U24</f>
        <v>280.20816959999996</v>
      </c>
      <c r="V49" s="14">
        <f>V24*'2021'!V24</f>
        <v>116.95758119999999</v>
      </c>
      <c r="W49" s="14">
        <f>W24*'2021'!W24</f>
        <v>0</v>
      </c>
      <c r="X49" s="14">
        <f>X24*'2021'!X24</f>
        <v>8</v>
      </c>
      <c r="Y49" s="14">
        <f>Y24*'2021'!Y24</f>
        <v>50.301765599999918</v>
      </c>
      <c r="Z49" s="14">
        <f>Z24*'2021'!Z24</f>
        <v>0</v>
      </c>
      <c r="AA49" s="14">
        <f>AA24*'2021'!AA24</f>
        <v>0</v>
      </c>
      <c r="AB49" s="14">
        <f>AB24*'2021'!AB24</f>
        <v>1.8538190999999999</v>
      </c>
      <c r="AC49" s="14">
        <f>AC24*'2021'!AC24</f>
        <v>-0.38206030000000002</v>
      </c>
      <c r="AD49" s="14">
        <f>AD24*'2021'!AD24</f>
        <v>0</v>
      </c>
      <c r="AE49" s="14">
        <f>AE24*'2021'!AE24</f>
        <v>0</v>
      </c>
      <c r="AF49" s="14">
        <f>AF24*'2021'!AF24</f>
        <v>-634.60215830000004</v>
      </c>
      <c r="AG49" s="14">
        <f>AG24*'2021'!AG24</f>
        <v>0</v>
      </c>
      <c r="AH49" s="14">
        <f>AH24*'2021'!AH24</f>
        <v>0</v>
      </c>
      <c r="AI49" s="14">
        <f>AI24*'2021'!AI24</f>
        <v>0</v>
      </c>
      <c r="AJ49" s="15">
        <f t="shared" si="7"/>
        <v>-31.128875600000129</v>
      </c>
      <c r="AK49" s="13">
        <f t="shared" si="8"/>
        <v>-1.2056109837335448E-2</v>
      </c>
    </row>
    <row r="50" spans="2:37" x14ac:dyDescent="0.25">
      <c r="B50" t="str">
        <f t="shared" si="6"/>
        <v>10101</v>
      </c>
      <c r="D50" s="14">
        <f>D25*'2021'!D25</f>
        <v>0</v>
      </c>
      <c r="E50" s="14">
        <f>E25*'2021'!E25</f>
        <v>0</v>
      </c>
      <c r="F50" s="14">
        <f>F25*'2021'!F25</f>
        <v>0</v>
      </c>
      <c r="G50" s="14">
        <f>G25*'2021'!G25</f>
        <v>0</v>
      </c>
      <c r="H50" s="14">
        <f>H25*'2021'!H25</f>
        <v>0</v>
      </c>
      <c r="I50" s="14">
        <f>I25*'2021'!I25</f>
        <v>0</v>
      </c>
      <c r="J50" s="14">
        <f>J25*'2021'!J25</f>
        <v>0</v>
      </c>
      <c r="K50" s="14">
        <f>K25*'2021'!K25</f>
        <v>0</v>
      </c>
      <c r="L50" s="14">
        <f>L25*'2021'!L25</f>
        <v>0</v>
      </c>
      <c r="M50" s="14">
        <f>M25*'2021'!M25</f>
        <v>0</v>
      </c>
      <c r="N50" s="14">
        <f>N25*'2021'!N25</f>
        <v>0</v>
      </c>
      <c r="O50" s="14">
        <f>O25*'2021'!O25</f>
        <v>0</v>
      </c>
      <c r="P50" s="14">
        <f>P25*'2021'!P25</f>
        <v>0</v>
      </c>
      <c r="Q50" s="14">
        <f>Q25*'2021'!Q25</f>
        <v>0</v>
      </c>
      <c r="R50" s="14">
        <f>R25*'2021'!R25</f>
        <v>0</v>
      </c>
      <c r="S50" s="14">
        <f>S25*'2021'!S25</f>
        <v>0</v>
      </c>
      <c r="T50" s="14">
        <f>T25*'2021'!T25</f>
        <v>204.5080663</v>
      </c>
      <c r="U50" s="14">
        <f>U25*'2021'!U25</f>
        <v>3.4381468000000002</v>
      </c>
      <c r="V50" s="14">
        <f>V25*'2021'!V25</f>
        <v>81.359392500000013</v>
      </c>
      <c r="W50" s="14">
        <f>W25*'2021'!W25</f>
        <v>200.1633987000001</v>
      </c>
      <c r="X50" s="14">
        <f>X25*'2021'!X25</f>
        <v>33.5660436</v>
      </c>
      <c r="Y50" s="14">
        <f>Y25*'2021'!Y25</f>
        <v>97</v>
      </c>
      <c r="Z50" s="14">
        <f>Z25*'2021'!Z25</f>
        <v>60.444300000000013</v>
      </c>
      <c r="AA50" s="14">
        <f>AA25*'2021'!AA25</f>
        <v>76.895436200000063</v>
      </c>
      <c r="AB50" s="14">
        <f>AB25*'2021'!AB25</f>
        <v>1.4827199000000002</v>
      </c>
      <c r="AC50" s="14">
        <f>AC25*'2021'!AC25</f>
        <v>2.413599500000001</v>
      </c>
      <c r="AD50" s="14">
        <f>AD25*'2021'!AD25</f>
        <v>1.4481597000000006</v>
      </c>
      <c r="AE50" s="14">
        <f>AE25*'2021'!AE25</f>
        <v>-1.0345601999999996</v>
      </c>
      <c r="AF50" s="14">
        <f>AF25*'2021'!AF25</f>
        <v>0.9654398000000004</v>
      </c>
      <c r="AG50" s="14">
        <f>AG25*'2021'!AG25</f>
        <v>-830.2345604999997</v>
      </c>
      <c r="AH50" s="14">
        <f>AH25*'2021'!AH25</f>
        <v>0</v>
      </c>
      <c r="AI50" s="14">
        <f>AI25*'2021'!AI25</f>
        <v>0</v>
      </c>
      <c r="AJ50" s="15">
        <f t="shared" si="7"/>
        <v>-67.584417699999449</v>
      </c>
      <c r="AK50" s="13">
        <f t="shared" si="8"/>
        <v>-2.8552774693704878E-2</v>
      </c>
    </row>
    <row r="51" spans="2:37" x14ac:dyDescent="0.25">
      <c r="B51" t="str">
        <f t="shared" si="6"/>
        <v>10110</v>
      </c>
      <c r="D51" s="14">
        <f>D26*'2021'!D26</f>
        <v>0</v>
      </c>
      <c r="E51" s="14">
        <f>E26*'2021'!E26</f>
        <v>0</v>
      </c>
      <c r="F51" s="14">
        <f>F26*'2021'!F26</f>
        <v>0</v>
      </c>
      <c r="G51" s="14">
        <f>G26*'2021'!G26</f>
        <v>0</v>
      </c>
      <c r="H51" s="14">
        <f>H26*'2021'!H26</f>
        <v>0</v>
      </c>
      <c r="I51" s="14">
        <f>I26*'2021'!I26</f>
        <v>0</v>
      </c>
      <c r="J51" s="14">
        <f>J26*'2021'!J26</f>
        <v>0</v>
      </c>
      <c r="K51" s="14">
        <f>K26*'2021'!K26</f>
        <v>0</v>
      </c>
      <c r="L51" s="14">
        <f>L26*'2021'!L26</f>
        <v>0</v>
      </c>
      <c r="M51" s="14">
        <f>M26*'2021'!M26</f>
        <v>0</v>
      </c>
      <c r="N51" s="14">
        <f>N26*'2021'!N26</f>
        <v>0</v>
      </c>
      <c r="O51" s="14">
        <f>O26*'2021'!O26</f>
        <v>0</v>
      </c>
      <c r="P51" s="14">
        <f>P26*'2021'!P26</f>
        <v>0</v>
      </c>
      <c r="Q51" s="14">
        <f>Q26*'2021'!Q26</f>
        <v>0</v>
      </c>
      <c r="R51" s="14">
        <f>R26*'2021'!R26</f>
        <v>0</v>
      </c>
      <c r="S51" s="14">
        <f>S26*'2021'!S26</f>
        <v>0</v>
      </c>
      <c r="T51" s="14">
        <f>T26*'2021'!T26</f>
        <v>105.39258239999998</v>
      </c>
      <c r="U51" s="14">
        <f>U26*'2021'!U26</f>
        <v>255.79490039999999</v>
      </c>
      <c r="V51" s="14">
        <f>V26*'2021'!V26</f>
        <v>138.28992</v>
      </c>
      <c r="W51" s="14">
        <f>W26*'2021'!W26</f>
        <v>0.86927920000000025</v>
      </c>
      <c r="X51" s="14">
        <f>X26*'2021'!X26</f>
        <v>3.5708354</v>
      </c>
      <c r="Y51" s="14">
        <f>Y26*'2021'!Y26</f>
        <v>57.07952499999999</v>
      </c>
      <c r="Z51" s="14">
        <f>Z26*'2021'!Z26</f>
        <v>1</v>
      </c>
      <c r="AA51" s="14">
        <f>AA26*'2021'!AA26</f>
        <v>79.821998100000002</v>
      </c>
      <c r="AB51" s="14">
        <f>AB26*'2021'!AB26</f>
        <v>12.630216600000001</v>
      </c>
      <c r="AC51" s="14">
        <f>AC26*'2021'!AC26</f>
        <v>2.8235017999999998</v>
      </c>
      <c r="AD51" s="14">
        <f>AD26*'2021'!AD26</f>
        <v>0</v>
      </c>
      <c r="AE51" s="14">
        <f>AE26*'2021'!AE26</f>
        <v>0</v>
      </c>
      <c r="AF51" s="14">
        <f>AF26*'2021'!AF26</f>
        <v>0.40335739999999998</v>
      </c>
      <c r="AG51" s="14">
        <f>AG26*'2021'!AG26</f>
        <v>0</v>
      </c>
      <c r="AH51" s="14">
        <f>AH26*'2021'!AH26</f>
        <v>-681.96249180000007</v>
      </c>
      <c r="AI51" s="14">
        <f>AI26*'2021'!AI26</f>
        <v>0</v>
      </c>
      <c r="AJ51" s="15">
        <f t="shared" si="7"/>
        <v>-24.286375499999963</v>
      </c>
      <c r="AK51" s="13">
        <f t="shared" si="8"/>
        <v>-1.3220672563962962E-2</v>
      </c>
    </row>
    <row r="52" spans="2:37" x14ac:dyDescent="0.25">
      <c r="B52" t="str">
        <f t="shared" si="6"/>
        <v>10111</v>
      </c>
      <c r="D52" s="14">
        <f>D27*'2021'!D27</f>
        <v>0</v>
      </c>
      <c r="E52" s="14">
        <f>E27*'2021'!E27</f>
        <v>0</v>
      </c>
      <c r="F52" s="14">
        <f>F27*'2021'!F27</f>
        <v>0</v>
      </c>
      <c r="G52" s="14">
        <f>G27*'2021'!G27</f>
        <v>0</v>
      </c>
      <c r="H52" s="14">
        <f>H27*'2021'!H27</f>
        <v>0</v>
      </c>
      <c r="I52" s="14">
        <f>I27*'2021'!I27</f>
        <v>0</v>
      </c>
      <c r="J52" s="14">
        <f>J27*'2021'!J27</f>
        <v>0</v>
      </c>
      <c r="K52" s="14">
        <f>K27*'2021'!K27</f>
        <v>0</v>
      </c>
      <c r="L52" s="14">
        <f>L27*'2021'!L27</f>
        <v>0</v>
      </c>
      <c r="M52" s="14">
        <f>M27*'2021'!M27</f>
        <v>0</v>
      </c>
      <c r="N52" s="14">
        <f>N27*'2021'!N27</f>
        <v>0</v>
      </c>
      <c r="O52" s="14">
        <f>O27*'2021'!O27</f>
        <v>0</v>
      </c>
      <c r="P52" s="14">
        <f>P27*'2021'!P27</f>
        <v>0</v>
      </c>
      <c r="Q52" s="14">
        <f>Q27*'2021'!Q27</f>
        <v>0</v>
      </c>
      <c r="R52" s="14">
        <f>R27*'2021'!R27</f>
        <v>0</v>
      </c>
      <c r="S52" s="14">
        <f>S27*'2021'!S27</f>
        <v>0</v>
      </c>
      <c r="T52" s="14">
        <f>T27*'2021'!T27</f>
        <v>271.38024449999995</v>
      </c>
      <c r="U52" s="14">
        <f>U27*'2021'!U27</f>
        <v>7.2000155999999995</v>
      </c>
      <c r="V52" s="14">
        <f>V27*'2021'!V27</f>
        <v>134.40158819999999</v>
      </c>
      <c r="W52" s="14">
        <f>W27*'2021'!W27</f>
        <v>145.03204150000002</v>
      </c>
      <c r="X52" s="14">
        <f>X27*'2021'!X27</f>
        <v>28.002831999999998</v>
      </c>
      <c r="Y52" s="14">
        <f>Y27*'2021'!Y27</f>
        <v>152.96479379999997</v>
      </c>
      <c r="Z52" s="14">
        <f>Z27*'2021'!Z27</f>
        <v>82.733832100000001</v>
      </c>
      <c r="AA52" s="14">
        <f>AA27*'2021'!AA27</f>
        <v>289</v>
      </c>
      <c r="AB52" s="14">
        <f>AB27*'2021'!AB27</f>
        <v>0</v>
      </c>
      <c r="AC52" s="14">
        <f>AC27*'2021'!AC27</f>
        <v>8.1455619000000006</v>
      </c>
      <c r="AD52" s="14">
        <f>AD27*'2021'!AD27</f>
        <v>0</v>
      </c>
      <c r="AE52" s="14">
        <f>AE27*'2021'!AE27</f>
        <v>1.6365169999999996</v>
      </c>
      <c r="AF52" s="14">
        <f>AF27*'2021'!AF27</f>
        <v>2.3273033999999999</v>
      </c>
      <c r="AG52" s="14">
        <f>AG27*'2021'!AG27</f>
        <v>3.4366856999999991</v>
      </c>
      <c r="AH52" s="14">
        <f>AH27*'2021'!AH27</f>
        <v>0</v>
      </c>
      <c r="AI52" s="14">
        <f>AI27*'2021'!AI27</f>
        <v>-1164.1968336</v>
      </c>
      <c r="AJ52" s="15">
        <f t="shared" si="7"/>
        <v>-37.935417900000402</v>
      </c>
      <c r="AK52" s="13">
        <f t="shared" si="8"/>
        <v>-1.8073090948070702E-2</v>
      </c>
    </row>
  </sheetData>
  <conditionalFormatting sqref="AK29:AK52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051"/>
  <sheetViews>
    <sheetView tabSelected="1" topLeftCell="A271" workbookViewId="0">
      <selection activeCell="O275" sqref="O275"/>
    </sheetView>
  </sheetViews>
  <sheetFormatPr defaultRowHeight="15" x14ac:dyDescent="0.25"/>
  <sheetData>
    <row r="1" spans="2:5" x14ac:dyDescent="0.25">
      <c r="E1" t="s">
        <v>1051</v>
      </c>
    </row>
    <row r="2" spans="2:5" x14ac:dyDescent="0.25">
      <c r="B2" t="s">
        <v>987</v>
      </c>
      <c r="C2">
        <v>1</v>
      </c>
      <c r="D2">
        <v>1.68093</v>
      </c>
      <c r="E2">
        <v>1.68093</v>
      </c>
    </row>
    <row r="3" spans="2:5" x14ac:dyDescent="0.25">
      <c r="B3" t="s">
        <v>1011</v>
      </c>
      <c r="C3">
        <v>3</v>
      </c>
      <c r="D3">
        <v>2.8684699999999999</v>
      </c>
      <c r="E3">
        <v>0.95616000000000001</v>
      </c>
    </row>
    <row r="4" spans="2:5" x14ac:dyDescent="0.25">
      <c r="B4" t="s">
        <v>942</v>
      </c>
      <c r="C4">
        <v>1</v>
      </c>
      <c r="D4">
        <v>0.89502000000000004</v>
      </c>
      <c r="E4">
        <v>0.89502000000000004</v>
      </c>
    </row>
    <row r="5" spans="2:5" x14ac:dyDescent="0.25">
      <c r="B5" t="s">
        <v>965</v>
      </c>
      <c r="C5">
        <v>1</v>
      </c>
      <c r="D5">
        <v>0.49852999999999997</v>
      </c>
      <c r="E5">
        <v>0.49852999999999997</v>
      </c>
    </row>
    <row r="6" spans="2:5" x14ac:dyDescent="0.25">
      <c r="B6" t="s">
        <v>564</v>
      </c>
      <c r="C6">
        <v>2</v>
      </c>
      <c r="D6">
        <v>0.92476999999999998</v>
      </c>
      <c r="E6">
        <v>0.46239000000000002</v>
      </c>
    </row>
    <row r="7" spans="2:5" x14ac:dyDescent="0.25">
      <c r="B7" t="s">
        <v>409</v>
      </c>
      <c r="C7">
        <v>3</v>
      </c>
      <c r="D7">
        <v>1.29027</v>
      </c>
      <c r="E7">
        <v>0.43008999999999997</v>
      </c>
    </row>
    <row r="8" spans="2:5" x14ac:dyDescent="0.25">
      <c r="B8" t="s">
        <v>522</v>
      </c>
      <c r="C8">
        <v>1</v>
      </c>
      <c r="D8">
        <v>0.40155999999999997</v>
      </c>
      <c r="E8">
        <v>0.40155999999999997</v>
      </c>
    </row>
    <row r="9" spans="2:5" x14ac:dyDescent="0.25">
      <c r="B9" t="s">
        <v>714</v>
      </c>
      <c r="C9">
        <v>2</v>
      </c>
      <c r="D9">
        <v>0.66713</v>
      </c>
      <c r="E9">
        <v>0.33356000000000002</v>
      </c>
    </row>
    <row r="10" spans="2:5" x14ac:dyDescent="0.25">
      <c r="B10" t="s">
        <v>1028</v>
      </c>
      <c r="C10">
        <v>2</v>
      </c>
      <c r="D10">
        <v>0.63112999999999997</v>
      </c>
      <c r="E10">
        <v>0.31556000000000001</v>
      </c>
    </row>
    <row r="11" spans="2:5" x14ac:dyDescent="0.25">
      <c r="B11" t="s">
        <v>580</v>
      </c>
      <c r="C11">
        <v>3</v>
      </c>
      <c r="D11">
        <v>0.94628000000000001</v>
      </c>
      <c r="E11">
        <v>0.31542999999999999</v>
      </c>
    </row>
    <row r="12" spans="2:5" x14ac:dyDescent="0.25">
      <c r="B12" t="s">
        <v>948</v>
      </c>
      <c r="C12">
        <v>1</v>
      </c>
      <c r="D12">
        <v>0.30890000000000001</v>
      </c>
      <c r="E12">
        <v>0.30890000000000001</v>
      </c>
    </row>
    <row r="13" spans="2:5" x14ac:dyDescent="0.25">
      <c r="B13" t="s">
        <v>585</v>
      </c>
      <c r="C13">
        <v>2</v>
      </c>
      <c r="D13">
        <v>0.54471999999999998</v>
      </c>
      <c r="E13">
        <v>0.27235999999999999</v>
      </c>
    </row>
    <row r="14" spans="2:5" x14ac:dyDescent="0.25">
      <c r="B14" t="s">
        <v>566</v>
      </c>
      <c r="C14">
        <v>1</v>
      </c>
      <c r="D14">
        <v>0.26556999999999997</v>
      </c>
      <c r="E14">
        <v>0.26556999999999997</v>
      </c>
    </row>
    <row r="15" spans="2:5" x14ac:dyDescent="0.25">
      <c r="B15" t="s">
        <v>787</v>
      </c>
      <c r="C15">
        <v>1</v>
      </c>
      <c r="D15">
        <v>0.26556999999999997</v>
      </c>
      <c r="E15">
        <v>0.26556999999999997</v>
      </c>
    </row>
    <row r="16" spans="2:5" x14ac:dyDescent="0.25">
      <c r="B16" t="s">
        <v>980</v>
      </c>
      <c r="C16">
        <v>1</v>
      </c>
      <c r="D16">
        <v>0.26556999999999997</v>
      </c>
      <c r="E16">
        <v>0.26556999999999997</v>
      </c>
    </row>
    <row r="17" spans="2:5" x14ac:dyDescent="0.25">
      <c r="B17" t="s">
        <v>584</v>
      </c>
      <c r="C17">
        <v>2</v>
      </c>
      <c r="D17">
        <v>0.49364999999999998</v>
      </c>
      <c r="E17">
        <v>0.24682999999999999</v>
      </c>
    </row>
    <row r="18" spans="2:5" x14ac:dyDescent="0.25">
      <c r="B18" t="s">
        <v>1019</v>
      </c>
      <c r="C18">
        <v>7</v>
      </c>
      <c r="D18">
        <v>1.5978300000000001</v>
      </c>
      <c r="E18">
        <v>0.22825999999999999</v>
      </c>
    </row>
    <row r="19" spans="2:5" x14ac:dyDescent="0.25">
      <c r="B19" t="s">
        <v>891</v>
      </c>
      <c r="C19">
        <v>3</v>
      </c>
      <c r="D19">
        <v>0.67239000000000004</v>
      </c>
      <c r="E19">
        <v>0.22413</v>
      </c>
    </row>
    <row r="20" spans="2:5" x14ac:dyDescent="0.25">
      <c r="B20" t="s">
        <v>548</v>
      </c>
      <c r="C20">
        <v>5</v>
      </c>
      <c r="D20">
        <v>0.96838000000000002</v>
      </c>
      <c r="E20">
        <v>0.19367999999999999</v>
      </c>
    </row>
    <row r="21" spans="2:5" x14ac:dyDescent="0.25">
      <c r="B21" t="s">
        <v>914</v>
      </c>
      <c r="C21">
        <v>10</v>
      </c>
      <c r="D21">
        <v>1.8327800000000001</v>
      </c>
      <c r="E21">
        <v>0.18328</v>
      </c>
    </row>
    <row r="22" spans="2:5" x14ac:dyDescent="0.25">
      <c r="B22" t="s">
        <v>433</v>
      </c>
      <c r="C22">
        <v>7</v>
      </c>
      <c r="D22">
        <v>1.1795500000000001</v>
      </c>
      <c r="E22">
        <v>0.16850999999999999</v>
      </c>
    </row>
    <row r="23" spans="2:5" x14ac:dyDescent="0.25">
      <c r="B23" t="s">
        <v>838</v>
      </c>
      <c r="C23">
        <v>3</v>
      </c>
      <c r="D23">
        <v>0.49964999999999998</v>
      </c>
      <c r="E23">
        <v>0.16655</v>
      </c>
    </row>
    <row r="24" spans="2:5" x14ac:dyDescent="0.25">
      <c r="B24" t="s">
        <v>1009</v>
      </c>
      <c r="C24">
        <v>4</v>
      </c>
      <c r="D24">
        <v>0.65432999999999997</v>
      </c>
      <c r="E24">
        <v>0.16358</v>
      </c>
    </row>
    <row r="25" spans="2:5" x14ac:dyDescent="0.25">
      <c r="B25" t="s">
        <v>692</v>
      </c>
      <c r="C25">
        <v>18</v>
      </c>
      <c r="D25">
        <v>2.82056</v>
      </c>
      <c r="E25">
        <v>0.15670000000000001</v>
      </c>
    </row>
    <row r="26" spans="2:5" x14ac:dyDescent="0.25">
      <c r="B26" t="s">
        <v>861</v>
      </c>
      <c r="C26">
        <v>8</v>
      </c>
      <c r="D26">
        <v>1.2103900000000001</v>
      </c>
      <c r="E26">
        <v>0.15129999999999999</v>
      </c>
    </row>
    <row r="27" spans="2:5" x14ac:dyDescent="0.25">
      <c r="B27" t="s">
        <v>1048</v>
      </c>
      <c r="C27">
        <v>1</v>
      </c>
      <c r="D27">
        <v>0.13036</v>
      </c>
      <c r="E27">
        <v>0.13036</v>
      </c>
    </row>
    <row r="28" spans="2:5" x14ac:dyDescent="0.25">
      <c r="B28" t="s">
        <v>798</v>
      </c>
      <c r="C28">
        <v>35</v>
      </c>
      <c r="D28">
        <v>4.1748599999999998</v>
      </c>
      <c r="E28">
        <v>0.11928</v>
      </c>
    </row>
    <row r="29" spans="2:5" x14ac:dyDescent="0.25">
      <c r="B29" t="s">
        <v>937</v>
      </c>
      <c r="C29">
        <v>34</v>
      </c>
      <c r="D29">
        <v>3.8018800000000001</v>
      </c>
      <c r="E29">
        <v>0.11182</v>
      </c>
    </row>
    <row r="30" spans="2:5" x14ac:dyDescent="0.25">
      <c r="B30" t="s">
        <v>970</v>
      </c>
      <c r="C30">
        <v>8</v>
      </c>
      <c r="D30">
        <v>0.85838000000000003</v>
      </c>
      <c r="E30">
        <v>0.10730000000000001</v>
      </c>
    </row>
    <row r="31" spans="2:5" x14ac:dyDescent="0.25">
      <c r="B31" t="s">
        <v>340</v>
      </c>
      <c r="C31">
        <v>654</v>
      </c>
      <c r="D31">
        <v>64.583950000000002</v>
      </c>
      <c r="E31">
        <v>9.8750000000000004E-2</v>
      </c>
    </row>
    <row r="32" spans="2:5" x14ac:dyDescent="0.25">
      <c r="B32" t="s">
        <v>722</v>
      </c>
      <c r="C32">
        <v>11</v>
      </c>
      <c r="D32">
        <v>1.0750599999999999</v>
      </c>
      <c r="E32">
        <v>9.7729999999999997E-2</v>
      </c>
    </row>
    <row r="33" spans="2:5" x14ac:dyDescent="0.25">
      <c r="B33" t="s">
        <v>482</v>
      </c>
      <c r="C33">
        <v>599</v>
      </c>
      <c r="D33">
        <v>54.700650000000003</v>
      </c>
      <c r="E33">
        <v>9.1319999999999998E-2</v>
      </c>
    </row>
    <row r="34" spans="2:5" x14ac:dyDescent="0.25">
      <c r="B34" t="s">
        <v>726</v>
      </c>
      <c r="C34">
        <v>259</v>
      </c>
      <c r="D34">
        <v>23.35352</v>
      </c>
      <c r="E34">
        <v>9.017E-2</v>
      </c>
    </row>
    <row r="35" spans="2:5" x14ac:dyDescent="0.25">
      <c r="B35" t="s">
        <v>1001</v>
      </c>
      <c r="C35">
        <v>2</v>
      </c>
      <c r="D35">
        <v>0.17222000000000001</v>
      </c>
      <c r="E35">
        <v>8.6110000000000006E-2</v>
      </c>
    </row>
    <row r="36" spans="2:5" x14ac:dyDescent="0.25">
      <c r="B36" t="s">
        <v>8</v>
      </c>
      <c r="C36">
        <v>146</v>
      </c>
      <c r="D36">
        <v>12.534689999999999</v>
      </c>
      <c r="E36">
        <v>8.5849999999999996E-2</v>
      </c>
    </row>
    <row r="37" spans="2:5" x14ac:dyDescent="0.25">
      <c r="B37" t="s">
        <v>1023</v>
      </c>
      <c r="C37">
        <v>2</v>
      </c>
      <c r="D37">
        <v>0.16667000000000001</v>
      </c>
      <c r="E37">
        <v>8.3330000000000001E-2</v>
      </c>
    </row>
    <row r="38" spans="2:5" x14ac:dyDescent="0.25">
      <c r="B38" t="s">
        <v>926</v>
      </c>
      <c r="C38">
        <v>2</v>
      </c>
      <c r="D38">
        <v>0.16520000000000001</v>
      </c>
      <c r="E38">
        <v>8.2600000000000007E-2</v>
      </c>
    </row>
    <row r="39" spans="2:5" x14ac:dyDescent="0.25">
      <c r="B39" t="s">
        <v>932</v>
      </c>
      <c r="C39">
        <v>2</v>
      </c>
      <c r="D39">
        <v>0.16520000000000001</v>
      </c>
      <c r="E39">
        <v>8.2600000000000007E-2</v>
      </c>
    </row>
    <row r="40" spans="2:5" x14ac:dyDescent="0.25">
      <c r="B40" t="s">
        <v>7</v>
      </c>
      <c r="C40">
        <v>639</v>
      </c>
      <c r="D40">
        <v>52.150620000000004</v>
      </c>
      <c r="E40">
        <v>8.1610000000000002E-2</v>
      </c>
    </row>
    <row r="41" spans="2:5" x14ac:dyDescent="0.25">
      <c r="B41" t="s">
        <v>212</v>
      </c>
      <c r="C41">
        <v>211</v>
      </c>
      <c r="D41">
        <v>16.162479999999999</v>
      </c>
      <c r="E41">
        <v>7.6600000000000001E-2</v>
      </c>
    </row>
    <row r="42" spans="2:5" x14ac:dyDescent="0.25">
      <c r="B42" t="s">
        <v>241</v>
      </c>
      <c r="C42">
        <v>546</v>
      </c>
      <c r="D42">
        <v>41.566920000000003</v>
      </c>
      <c r="E42">
        <v>7.6130000000000003E-2</v>
      </c>
    </row>
    <row r="43" spans="2:5" x14ac:dyDescent="0.25">
      <c r="B43" t="s">
        <v>225</v>
      </c>
      <c r="C43">
        <v>698</v>
      </c>
      <c r="D43">
        <v>51.763449999999999</v>
      </c>
      <c r="E43">
        <v>7.4160000000000004E-2</v>
      </c>
    </row>
    <row r="44" spans="2:5" x14ac:dyDescent="0.25">
      <c r="B44" t="s">
        <v>80</v>
      </c>
      <c r="C44">
        <v>409</v>
      </c>
      <c r="D44">
        <v>29.617660000000001</v>
      </c>
      <c r="E44">
        <v>7.2410000000000002E-2</v>
      </c>
    </row>
    <row r="45" spans="2:5" x14ac:dyDescent="0.25">
      <c r="B45" t="s">
        <v>9</v>
      </c>
      <c r="C45">
        <v>374</v>
      </c>
      <c r="D45">
        <v>26.211670000000002</v>
      </c>
      <c r="E45">
        <v>7.0080000000000003E-2</v>
      </c>
    </row>
    <row r="46" spans="2:5" x14ac:dyDescent="0.25">
      <c r="B46" t="s">
        <v>797</v>
      </c>
      <c r="C46">
        <v>254</v>
      </c>
      <c r="D46">
        <v>17.50047</v>
      </c>
      <c r="E46">
        <v>6.8900000000000003E-2</v>
      </c>
    </row>
    <row r="47" spans="2:5" x14ac:dyDescent="0.25">
      <c r="B47" t="s">
        <v>228</v>
      </c>
      <c r="C47">
        <v>595</v>
      </c>
      <c r="D47">
        <v>40.911859999999997</v>
      </c>
      <c r="E47">
        <v>6.8760000000000002E-2</v>
      </c>
    </row>
    <row r="48" spans="2:5" x14ac:dyDescent="0.25">
      <c r="B48" t="s">
        <v>210</v>
      </c>
      <c r="C48">
        <v>547</v>
      </c>
      <c r="D48">
        <v>36.035209999999999</v>
      </c>
      <c r="E48">
        <v>6.5879999999999994E-2</v>
      </c>
    </row>
    <row r="49" spans="2:5" x14ac:dyDescent="0.25">
      <c r="B49" t="s">
        <v>524</v>
      </c>
      <c r="C49">
        <v>360</v>
      </c>
      <c r="D49">
        <v>23.602350000000001</v>
      </c>
      <c r="E49">
        <v>6.5559999999999993E-2</v>
      </c>
    </row>
    <row r="50" spans="2:5" x14ac:dyDescent="0.25">
      <c r="B50" t="s">
        <v>11</v>
      </c>
      <c r="C50">
        <v>296</v>
      </c>
      <c r="D50">
        <v>19.279260000000001</v>
      </c>
      <c r="E50">
        <v>6.5129999999999993E-2</v>
      </c>
    </row>
    <row r="51" spans="2:5" x14ac:dyDescent="0.25">
      <c r="B51" t="s">
        <v>270</v>
      </c>
      <c r="C51">
        <v>533</v>
      </c>
      <c r="D51">
        <v>34.186480000000003</v>
      </c>
      <c r="E51">
        <v>6.4140000000000003E-2</v>
      </c>
    </row>
    <row r="52" spans="2:5" x14ac:dyDescent="0.25">
      <c r="B52" t="s">
        <v>266</v>
      </c>
      <c r="C52">
        <v>49</v>
      </c>
      <c r="D52">
        <v>3.1198899999999998</v>
      </c>
      <c r="E52">
        <v>6.3670000000000004E-2</v>
      </c>
    </row>
    <row r="53" spans="2:5" x14ac:dyDescent="0.25">
      <c r="B53" t="s">
        <v>82</v>
      </c>
      <c r="C53">
        <v>592</v>
      </c>
      <c r="D53">
        <v>37.190269999999998</v>
      </c>
      <c r="E53">
        <v>6.2820000000000001E-2</v>
      </c>
    </row>
    <row r="54" spans="2:5" x14ac:dyDescent="0.25">
      <c r="B54" t="s">
        <v>452</v>
      </c>
      <c r="C54">
        <v>646</v>
      </c>
      <c r="D54">
        <v>40.284329999999997</v>
      </c>
      <c r="E54">
        <v>6.2359999999999999E-2</v>
      </c>
    </row>
    <row r="55" spans="2:5" x14ac:dyDescent="0.25">
      <c r="B55" t="s">
        <v>502</v>
      </c>
      <c r="C55">
        <v>695</v>
      </c>
      <c r="D55">
        <v>42.776919999999997</v>
      </c>
      <c r="E55">
        <v>6.1550000000000001E-2</v>
      </c>
    </row>
    <row r="56" spans="2:5" x14ac:dyDescent="0.25">
      <c r="B56" t="s">
        <v>301</v>
      </c>
      <c r="C56">
        <v>5</v>
      </c>
      <c r="D56">
        <v>0.30446000000000001</v>
      </c>
      <c r="E56">
        <v>6.089E-2</v>
      </c>
    </row>
    <row r="57" spans="2:5" x14ac:dyDescent="0.25">
      <c r="B57" t="s">
        <v>200</v>
      </c>
      <c r="C57">
        <v>14</v>
      </c>
      <c r="D57">
        <v>0.84858</v>
      </c>
      <c r="E57">
        <v>6.0609999999999997E-2</v>
      </c>
    </row>
    <row r="58" spans="2:5" x14ac:dyDescent="0.25">
      <c r="B58" t="s">
        <v>224</v>
      </c>
      <c r="C58">
        <v>342</v>
      </c>
      <c r="D58">
        <v>20.721640000000001</v>
      </c>
      <c r="E58">
        <v>6.0589999999999998E-2</v>
      </c>
    </row>
    <row r="59" spans="2:5" x14ac:dyDescent="0.25">
      <c r="B59" t="s">
        <v>268</v>
      </c>
      <c r="C59">
        <v>485</v>
      </c>
      <c r="D59">
        <v>29.27861</v>
      </c>
      <c r="E59">
        <v>6.037E-2</v>
      </c>
    </row>
    <row r="60" spans="2:5" x14ac:dyDescent="0.25">
      <c r="B60" t="s">
        <v>690</v>
      </c>
      <c r="C60">
        <v>6</v>
      </c>
      <c r="D60">
        <v>0.36065000000000003</v>
      </c>
      <c r="E60">
        <v>6.0109999999999997E-2</v>
      </c>
    </row>
    <row r="61" spans="2:5" x14ac:dyDescent="0.25">
      <c r="B61" t="s">
        <v>269</v>
      </c>
      <c r="C61">
        <v>585</v>
      </c>
      <c r="D61">
        <v>34.897849999999998</v>
      </c>
      <c r="E61">
        <v>5.9650000000000002E-2</v>
      </c>
    </row>
    <row r="62" spans="2:5" x14ac:dyDescent="0.25">
      <c r="B62" t="s">
        <v>97</v>
      </c>
      <c r="C62">
        <v>636</v>
      </c>
      <c r="D62">
        <v>37.69</v>
      </c>
      <c r="E62">
        <v>5.926E-2</v>
      </c>
    </row>
    <row r="63" spans="2:5" x14ac:dyDescent="0.25">
      <c r="B63" t="s">
        <v>24</v>
      </c>
      <c r="C63">
        <v>585</v>
      </c>
      <c r="D63">
        <v>34.094230000000003</v>
      </c>
      <c r="E63">
        <v>5.8279999999999998E-2</v>
      </c>
    </row>
    <row r="64" spans="2:5" x14ac:dyDescent="0.25">
      <c r="B64" t="s">
        <v>86</v>
      </c>
      <c r="C64">
        <v>234</v>
      </c>
      <c r="D64">
        <v>13.61495</v>
      </c>
      <c r="E64">
        <v>5.8180000000000003E-2</v>
      </c>
    </row>
    <row r="65" spans="2:5" x14ac:dyDescent="0.25">
      <c r="B65" t="s">
        <v>434</v>
      </c>
      <c r="C65">
        <v>50</v>
      </c>
      <c r="D65">
        <v>2.8929200000000002</v>
      </c>
      <c r="E65">
        <v>5.7860000000000002E-2</v>
      </c>
    </row>
    <row r="66" spans="2:5" x14ac:dyDescent="0.25">
      <c r="B66" t="s">
        <v>341</v>
      </c>
      <c r="C66">
        <v>471</v>
      </c>
      <c r="D66">
        <v>26.611160000000002</v>
      </c>
      <c r="E66">
        <v>5.6500000000000002E-2</v>
      </c>
    </row>
    <row r="67" spans="2:5" x14ac:dyDescent="0.25">
      <c r="B67" t="s">
        <v>235</v>
      </c>
      <c r="C67">
        <v>140</v>
      </c>
      <c r="D67">
        <v>7.8393899999999999</v>
      </c>
      <c r="E67">
        <v>5.6000000000000001E-2</v>
      </c>
    </row>
    <row r="68" spans="2:5" x14ac:dyDescent="0.25">
      <c r="B68" t="s">
        <v>358</v>
      </c>
      <c r="C68">
        <v>374</v>
      </c>
      <c r="D68">
        <v>20.921320000000001</v>
      </c>
      <c r="E68">
        <v>5.5939999999999997E-2</v>
      </c>
    </row>
    <row r="69" spans="2:5" x14ac:dyDescent="0.25">
      <c r="B69" t="s">
        <v>169</v>
      </c>
      <c r="C69">
        <v>549</v>
      </c>
      <c r="D69">
        <v>30.360130000000002</v>
      </c>
      <c r="E69">
        <v>5.5300000000000002E-2</v>
      </c>
    </row>
    <row r="70" spans="2:5" x14ac:dyDescent="0.25">
      <c r="B70" t="s">
        <v>255</v>
      </c>
      <c r="C70">
        <v>633</v>
      </c>
      <c r="D70">
        <v>34.975369999999998</v>
      </c>
      <c r="E70">
        <v>5.525E-2</v>
      </c>
    </row>
    <row r="71" spans="2:5" x14ac:dyDescent="0.25">
      <c r="B71" t="s">
        <v>85</v>
      </c>
      <c r="C71">
        <v>422</v>
      </c>
      <c r="D71">
        <v>22.855219999999999</v>
      </c>
      <c r="E71">
        <v>5.416E-2</v>
      </c>
    </row>
    <row r="72" spans="2:5" x14ac:dyDescent="0.25">
      <c r="B72" t="s">
        <v>69</v>
      </c>
      <c r="C72">
        <v>615</v>
      </c>
      <c r="D72">
        <v>32.736960000000003</v>
      </c>
      <c r="E72">
        <v>5.323E-2</v>
      </c>
    </row>
    <row r="73" spans="2:5" x14ac:dyDescent="0.25">
      <c r="B73" t="s">
        <v>219</v>
      </c>
      <c r="C73">
        <v>526</v>
      </c>
      <c r="D73">
        <v>27.90108</v>
      </c>
      <c r="E73">
        <v>5.3039999999999997E-2</v>
      </c>
    </row>
    <row r="74" spans="2:5" x14ac:dyDescent="0.25">
      <c r="B74" t="s">
        <v>32</v>
      </c>
      <c r="C74">
        <v>567</v>
      </c>
      <c r="D74">
        <v>29.798580000000001</v>
      </c>
      <c r="E74">
        <v>5.2549999999999999E-2</v>
      </c>
    </row>
    <row r="75" spans="2:5" x14ac:dyDescent="0.25">
      <c r="B75" t="s">
        <v>167</v>
      </c>
      <c r="C75">
        <v>381</v>
      </c>
      <c r="D75">
        <v>19.767759999999999</v>
      </c>
      <c r="E75">
        <v>5.1880000000000003E-2</v>
      </c>
    </row>
    <row r="76" spans="2:5" x14ac:dyDescent="0.25">
      <c r="B76" t="s">
        <v>429</v>
      </c>
      <c r="C76">
        <v>132</v>
      </c>
      <c r="D76">
        <v>6.77555</v>
      </c>
      <c r="E76">
        <v>5.1330000000000001E-2</v>
      </c>
    </row>
    <row r="77" spans="2:5" x14ac:dyDescent="0.25">
      <c r="B77" t="s">
        <v>1007</v>
      </c>
      <c r="C77">
        <v>9</v>
      </c>
      <c r="D77">
        <v>0.44505</v>
      </c>
      <c r="E77">
        <v>4.9450000000000001E-2</v>
      </c>
    </row>
    <row r="78" spans="2:5" x14ac:dyDescent="0.25">
      <c r="B78" t="s">
        <v>190</v>
      </c>
      <c r="C78">
        <v>664</v>
      </c>
      <c r="D78">
        <v>31.874210000000001</v>
      </c>
      <c r="E78">
        <v>4.8000000000000001E-2</v>
      </c>
    </row>
    <row r="79" spans="2:5" x14ac:dyDescent="0.25">
      <c r="B79" t="s">
        <v>165</v>
      </c>
      <c r="C79">
        <v>312</v>
      </c>
      <c r="D79">
        <v>14.695639999999999</v>
      </c>
      <c r="E79">
        <v>4.7100000000000003E-2</v>
      </c>
    </row>
    <row r="80" spans="2:5" x14ac:dyDescent="0.25">
      <c r="B80" t="s">
        <v>844</v>
      </c>
      <c r="C80">
        <v>6</v>
      </c>
      <c r="D80">
        <v>0.27650999999999998</v>
      </c>
      <c r="E80">
        <v>4.6080000000000003E-2</v>
      </c>
    </row>
    <row r="81" spans="2:5" x14ac:dyDescent="0.25">
      <c r="B81" t="s">
        <v>640</v>
      </c>
      <c r="C81">
        <v>385</v>
      </c>
      <c r="D81">
        <v>17.66572</v>
      </c>
      <c r="E81">
        <v>4.5879999999999997E-2</v>
      </c>
    </row>
    <row r="82" spans="2:5" x14ac:dyDescent="0.25">
      <c r="B82" t="s">
        <v>4</v>
      </c>
      <c r="C82">
        <v>659</v>
      </c>
      <c r="D82">
        <v>30.152519999999999</v>
      </c>
      <c r="E82">
        <v>4.5749999999999999E-2</v>
      </c>
    </row>
    <row r="83" spans="2:5" x14ac:dyDescent="0.25">
      <c r="B83" t="s">
        <v>441</v>
      </c>
      <c r="C83">
        <v>170</v>
      </c>
      <c r="D83">
        <v>7.46258</v>
      </c>
      <c r="E83">
        <v>4.3900000000000002E-2</v>
      </c>
    </row>
    <row r="84" spans="2:5" x14ac:dyDescent="0.25">
      <c r="B84" t="s">
        <v>504</v>
      </c>
      <c r="C84">
        <v>662</v>
      </c>
      <c r="D84">
        <v>29.034649999999999</v>
      </c>
      <c r="E84">
        <v>4.3860000000000003E-2</v>
      </c>
    </row>
    <row r="85" spans="2:5" x14ac:dyDescent="0.25">
      <c r="B85" t="s">
        <v>31</v>
      </c>
      <c r="C85">
        <v>640</v>
      </c>
      <c r="D85">
        <v>27.661000000000001</v>
      </c>
      <c r="E85">
        <v>4.3220000000000001E-2</v>
      </c>
    </row>
    <row r="86" spans="2:5" x14ac:dyDescent="0.25">
      <c r="B86" t="s">
        <v>432</v>
      </c>
      <c r="C86">
        <v>3</v>
      </c>
      <c r="D86">
        <v>0.12926000000000001</v>
      </c>
      <c r="E86">
        <v>4.3090000000000003E-2</v>
      </c>
    </row>
    <row r="87" spans="2:5" x14ac:dyDescent="0.25">
      <c r="B87" t="s">
        <v>673</v>
      </c>
      <c r="C87">
        <v>179</v>
      </c>
      <c r="D87">
        <v>7.7000799999999998</v>
      </c>
      <c r="E87">
        <v>4.3020000000000003E-2</v>
      </c>
    </row>
    <row r="88" spans="2:5" x14ac:dyDescent="0.25">
      <c r="B88" t="s">
        <v>184</v>
      </c>
      <c r="C88">
        <v>296</v>
      </c>
      <c r="D88">
        <v>12.531599999999999</v>
      </c>
      <c r="E88">
        <v>4.2340000000000003E-2</v>
      </c>
    </row>
    <row r="89" spans="2:5" x14ac:dyDescent="0.25">
      <c r="B89" t="s">
        <v>605</v>
      </c>
      <c r="C89">
        <v>308</v>
      </c>
      <c r="D89">
        <v>13.024459999999999</v>
      </c>
      <c r="E89">
        <v>4.2290000000000001E-2</v>
      </c>
    </row>
    <row r="90" spans="2:5" x14ac:dyDescent="0.25">
      <c r="B90" t="s">
        <v>878</v>
      </c>
      <c r="C90">
        <v>31</v>
      </c>
      <c r="D90">
        <v>1.2872300000000001</v>
      </c>
      <c r="E90">
        <v>4.1520000000000001E-2</v>
      </c>
    </row>
    <row r="91" spans="2:5" x14ac:dyDescent="0.25">
      <c r="B91" t="s">
        <v>44</v>
      </c>
      <c r="C91">
        <v>644</v>
      </c>
      <c r="D91">
        <v>26.001169999999998</v>
      </c>
      <c r="E91">
        <v>4.0370000000000003E-2</v>
      </c>
    </row>
    <row r="92" spans="2:5" x14ac:dyDescent="0.25">
      <c r="B92" t="s">
        <v>243</v>
      </c>
      <c r="C92">
        <v>640</v>
      </c>
      <c r="D92">
        <v>25.798670000000001</v>
      </c>
      <c r="E92">
        <v>4.0309999999999999E-2</v>
      </c>
    </row>
    <row r="93" spans="2:5" x14ac:dyDescent="0.25">
      <c r="B93" t="s">
        <v>245</v>
      </c>
      <c r="C93">
        <v>194</v>
      </c>
      <c r="D93">
        <v>7.7551199999999998</v>
      </c>
      <c r="E93">
        <v>3.9969999999999999E-2</v>
      </c>
    </row>
    <row r="94" spans="2:5" x14ac:dyDescent="0.25">
      <c r="B94" t="s">
        <v>166</v>
      </c>
      <c r="C94">
        <v>454</v>
      </c>
      <c r="D94">
        <v>18.125399999999999</v>
      </c>
      <c r="E94">
        <v>3.9919999999999997E-2</v>
      </c>
    </row>
    <row r="95" spans="2:5" x14ac:dyDescent="0.25">
      <c r="B95" t="s">
        <v>780</v>
      </c>
      <c r="C95">
        <v>8</v>
      </c>
      <c r="D95">
        <v>0.31914999999999999</v>
      </c>
      <c r="E95">
        <v>3.9890000000000002E-2</v>
      </c>
    </row>
    <row r="96" spans="2:5" x14ac:dyDescent="0.25">
      <c r="B96" t="s">
        <v>324</v>
      </c>
      <c r="C96">
        <v>250</v>
      </c>
      <c r="D96">
        <v>9.8633600000000001</v>
      </c>
      <c r="E96">
        <v>3.9449999999999999E-2</v>
      </c>
    </row>
    <row r="97" spans="2:5" x14ac:dyDescent="0.25">
      <c r="B97" t="s">
        <v>230</v>
      </c>
      <c r="C97">
        <v>541</v>
      </c>
      <c r="D97">
        <v>21.236429999999999</v>
      </c>
      <c r="E97">
        <v>3.925E-2</v>
      </c>
    </row>
    <row r="98" spans="2:5" x14ac:dyDescent="0.25">
      <c r="B98" t="s">
        <v>28</v>
      </c>
      <c r="C98">
        <v>605</v>
      </c>
      <c r="D98">
        <v>23.631460000000001</v>
      </c>
      <c r="E98">
        <v>3.9059999999999997E-2</v>
      </c>
    </row>
    <row r="99" spans="2:5" x14ac:dyDescent="0.25">
      <c r="B99" t="s">
        <v>368</v>
      </c>
      <c r="C99">
        <v>679</v>
      </c>
      <c r="D99">
        <v>26.1935</v>
      </c>
      <c r="E99">
        <v>3.8580000000000003E-2</v>
      </c>
    </row>
    <row r="100" spans="2:5" x14ac:dyDescent="0.25">
      <c r="B100" t="s">
        <v>339</v>
      </c>
      <c r="C100">
        <v>646</v>
      </c>
      <c r="D100">
        <v>24.886810000000001</v>
      </c>
      <c r="E100">
        <v>3.8519999999999999E-2</v>
      </c>
    </row>
    <row r="101" spans="2:5" x14ac:dyDescent="0.25">
      <c r="B101" t="s">
        <v>66</v>
      </c>
      <c r="C101">
        <v>591</v>
      </c>
      <c r="D101">
        <v>22.562329999999999</v>
      </c>
      <c r="E101">
        <v>3.8179999999999999E-2</v>
      </c>
    </row>
    <row r="102" spans="2:5" x14ac:dyDescent="0.25">
      <c r="B102" t="s">
        <v>278</v>
      </c>
      <c r="C102">
        <v>454</v>
      </c>
      <c r="D102">
        <v>16.895289999999999</v>
      </c>
      <c r="E102">
        <v>3.721E-2</v>
      </c>
    </row>
    <row r="103" spans="2:5" x14ac:dyDescent="0.25">
      <c r="B103" t="s">
        <v>227</v>
      </c>
      <c r="C103">
        <v>690</v>
      </c>
      <c r="D103">
        <v>25.604800000000001</v>
      </c>
      <c r="E103">
        <v>3.7109999999999997E-2</v>
      </c>
    </row>
    <row r="104" spans="2:5" x14ac:dyDescent="0.25">
      <c r="B104" t="s">
        <v>279</v>
      </c>
      <c r="C104">
        <v>631</v>
      </c>
      <c r="D104">
        <v>23.247450000000001</v>
      </c>
      <c r="E104">
        <v>3.6839999999999998E-2</v>
      </c>
    </row>
    <row r="105" spans="2:5" x14ac:dyDescent="0.25">
      <c r="B105" t="s">
        <v>191</v>
      </c>
      <c r="C105">
        <v>634</v>
      </c>
      <c r="D105">
        <v>23.159510000000001</v>
      </c>
      <c r="E105">
        <v>3.653E-2</v>
      </c>
    </row>
    <row r="106" spans="2:5" x14ac:dyDescent="0.25">
      <c r="B106" t="s">
        <v>127</v>
      </c>
      <c r="C106">
        <v>691</v>
      </c>
      <c r="D106">
        <v>25.059750000000001</v>
      </c>
      <c r="E106">
        <v>3.6269999999999997E-2</v>
      </c>
    </row>
    <row r="107" spans="2:5" x14ac:dyDescent="0.25">
      <c r="B107" t="s">
        <v>445</v>
      </c>
      <c r="C107">
        <v>330</v>
      </c>
      <c r="D107">
        <v>11.83934</v>
      </c>
      <c r="E107">
        <v>3.5880000000000002E-2</v>
      </c>
    </row>
    <row r="108" spans="2:5" x14ac:dyDescent="0.25">
      <c r="B108" t="s">
        <v>256</v>
      </c>
      <c r="C108">
        <v>579</v>
      </c>
      <c r="D108">
        <v>20.215630000000001</v>
      </c>
      <c r="E108">
        <v>3.4909999999999997E-2</v>
      </c>
    </row>
    <row r="109" spans="2:5" x14ac:dyDescent="0.25">
      <c r="B109" t="s">
        <v>438</v>
      </c>
      <c r="C109">
        <v>586</v>
      </c>
      <c r="D109">
        <v>20.227139999999999</v>
      </c>
      <c r="E109">
        <v>3.4520000000000002E-2</v>
      </c>
    </row>
    <row r="110" spans="2:5" x14ac:dyDescent="0.25">
      <c r="B110" t="s">
        <v>323</v>
      </c>
      <c r="C110">
        <v>510</v>
      </c>
      <c r="D110">
        <v>17.444800000000001</v>
      </c>
      <c r="E110">
        <v>3.4209999999999997E-2</v>
      </c>
    </row>
    <row r="111" spans="2:5" x14ac:dyDescent="0.25">
      <c r="B111" t="s">
        <v>422</v>
      </c>
      <c r="C111">
        <v>271</v>
      </c>
      <c r="D111">
        <v>9.1184499999999993</v>
      </c>
      <c r="E111">
        <v>3.3649999999999999E-2</v>
      </c>
    </row>
    <row r="112" spans="2:5" x14ac:dyDescent="0.25">
      <c r="B112" t="s">
        <v>96</v>
      </c>
      <c r="C112">
        <v>193</v>
      </c>
      <c r="D112">
        <v>6.4351599999999998</v>
      </c>
      <c r="E112">
        <v>3.3340000000000002E-2</v>
      </c>
    </row>
    <row r="113" spans="2:5" x14ac:dyDescent="0.25">
      <c r="B113" t="s">
        <v>133</v>
      </c>
      <c r="C113">
        <v>265</v>
      </c>
      <c r="D113">
        <v>8.7853200000000005</v>
      </c>
      <c r="E113">
        <v>3.3149999999999999E-2</v>
      </c>
    </row>
    <row r="114" spans="2:5" x14ac:dyDescent="0.25">
      <c r="B114" t="s">
        <v>413</v>
      </c>
      <c r="C114">
        <v>514</v>
      </c>
      <c r="D114">
        <v>16.641169999999999</v>
      </c>
      <c r="E114">
        <v>3.2379999999999999E-2</v>
      </c>
    </row>
    <row r="115" spans="2:5" x14ac:dyDescent="0.25">
      <c r="B115" t="s">
        <v>1010</v>
      </c>
      <c r="C115">
        <v>2</v>
      </c>
      <c r="D115">
        <v>6.4750000000000002E-2</v>
      </c>
      <c r="E115">
        <v>3.2370000000000003E-2</v>
      </c>
    </row>
    <row r="116" spans="2:5" x14ac:dyDescent="0.25">
      <c r="B116" t="s">
        <v>123</v>
      </c>
      <c r="C116">
        <v>397</v>
      </c>
      <c r="D116">
        <v>12.69383</v>
      </c>
      <c r="E116">
        <v>3.1969999999999998E-2</v>
      </c>
    </row>
    <row r="117" spans="2:5" x14ac:dyDescent="0.25">
      <c r="B117" t="s">
        <v>79</v>
      </c>
      <c r="C117">
        <v>550</v>
      </c>
      <c r="D117">
        <v>17.37172</v>
      </c>
      <c r="E117">
        <v>3.1579999999999997E-2</v>
      </c>
    </row>
    <row r="118" spans="2:5" x14ac:dyDescent="0.25">
      <c r="B118" t="s">
        <v>192</v>
      </c>
      <c r="C118">
        <v>603</v>
      </c>
      <c r="D118">
        <v>19.008130000000001</v>
      </c>
      <c r="E118">
        <v>3.1519999999999999E-2</v>
      </c>
    </row>
    <row r="119" spans="2:5" x14ac:dyDescent="0.25">
      <c r="B119" t="s">
        <v>33</v>
      </c>
      <c r="C119">
        <v>319</v>
      </c>
      <c r="D119">
        <v>10.013199999999999</v>
      </c>
      <c r="E119">
        <v>3.1390000000000001E-2</v>
      </c>
    </row>
    <row r="120" spans="2:5" x14ac:dyDescent="0.25">
      <c r="B120" t="s">
        <v>427</v>
      </c>
      <c r="C120">
        <v>381</v>
      </c>
      <c r="D120">
        <v>11.891640000000001</v>
      </c>
      <c r="E120">
        <v>3.1210000000000002E-2</v>
      </c>
    </row>
    <row r="121" spans="2:5" x14ac:dyDescent="0.25">
      <c r="B121" t="s">
        <v>152</v>
      </c>
      <c r="C121">
        <v>626</v>
      </c>
      <c r="D121">
        <v>19.5258</v>
      </c>
      <c r="E121">
        <v>3.1189999999999999E-2</v>
      </c>
    </row>
    <row r="122" spans="2:5" x14ac:dyDescent="0.25">
      <c r="B122" t="s">
        <v>114</v>
      </c>
      <c r="C122">
        <v>673</v>
      </c>
      <c r="D122">
        <v>20.477799999999998</v>
      </c>
      <c r="E122">
        <v>3.0429999999999999E-2</v>
      </c>
    </row>
    <row r="123" spans="2:5" x14ac:dyDescent="0.25">
      <c r="B123" t="s">
        <v>676</v>
      </c>
      <c r="C123">
        <v>42</v>
      </c>
      <c r="D123">
        <v>1.2723899999999999</v>
      </c>
      <c r="E123">
        <v>3.0290000000000001E-2</v>
      </c>
    </row>
    <row r="124" spans="2:5" x14ac:dyDescent="0.25">
      <c r="B124" t="s">
        <v>371</v>
      </c>
      <c r="C124">
        <v>537</v>
      </c>
      <c r="D124">
        <v>16.158570000000001</v>
      </c>
      <c r="E124">
        <v>3.0089999999999999E-2</v>
      </c>
    </row>
    <row r="125" spans="2:5" x14ac:dyDescent="0.25">
      <c r="B125" t="s">
        <v>78</v>
      </c>
      <c r="C125">
        <v>237</v>
      </c>
      <c r="D125">
        <v>7.0932300000000001</v>
      </c>
      <c r="E125">
        <v>2.9929999999999998E-2</v>
      </c>
    </row>
    <row r="126" spans="2:5" x14ac:dyDescent="0.25">
      <c r="B126" t="s">
        <v>81</v>
      </c>
      <c r="C126">
        <v>612</v>
      </c>
      <c r="D126">
        <v>17.948550000000001</v>
      </c>
      <c r="E126">
        <v>2.9329999999999998E-2</v>
      </c>
    </row>
    <row r="127" spans="2:5" x14ac:dyDescent="0.25">
      <c r="B127" t="s">
        <v>415</v>
      </c>
      <c r="C127">
        <v>570</v>
      </c>
      <c r="D127">
        <v>16.650490000000001</v>
      </c>
      <c r="E127">
        <v>2.921E-2</v>
      </c>
    </row>
    <row r="128" spans="2:5" x14ac:dyDescent="0.25">
      <c r="B128" t="s">
        <v>142</v>
      </c>
      <c r="C128">
        <v>665</v>
      </c>
      <c r="D128">
        <v>19.341090000000001</v>
      </c>
      <c r="E128">
        <v>2.9080000000000002E-2</v>
      </c>
    </row>
    <row r="129" spans="2:5" x14ac:dyDescent="0.25">
      <c r="B129" t="s">
        <v>40</v>
      </c>
      <c r="C129">
        <v>584</v>
      </c>
      <c r="D129">
        <v>16.947870000000002</v>
      </c>
      <c r="E129">
        <v>2.9020000000000001E-2</v>
      </c>
    </row>
    <row r="130" spans="2:5" x14ac:dyDescent="0.25">
      <c r="B130" t="s">
        <v>704</v>
      </c>
      <c r="C130">
        <v>25</v>
      </c>
      <c r="D130">
        <v>0.71384000000000003</v>
      </c>
      <c r="E130">
        <v>2.8549999999999999E-2</v>
      </c>
    </row>
    <row r="131" spans="2:5" x14ac:dyDescent="0.25">
      <c r="B131" t="s">
        <v>30</v>
      </c>
      <c r="C131">
        <v>597</v>
      </c>
      <c r="D131">
        <v>16.719580000000001</v>
      </c>
      <c r="E131">
        <v>2.801E-2</v>
      </c>
    </row>
    <row r="132" spans="2:5" x14ac:dyDescent="0.25">
      <c r="B132" t="s">
        <v>177</v>
      </c>
      <c r="C132">
        <v>675</v>
      </c>
      <c r="D132">
        <v>18.88983</v>
      </c>
      <c r="E132">
        <v>2.7980000000000001E-2</v>
      </c>
    </row>
    <row r="133" spans="2:5" x14ac:dyDescent="0.25">
      <c r="B133" t="s">
        <v>71</v>
      </c>
      <c r="C133">
        <v>555</v>
      </c>
      <c r="D133">
        <v>15.50858</v>
      </c>
      <c r="E133">
        <v>2.794E-2</v>
      </c>
    </row>
    <row r="134" spans="2:5" x14ac:dyDescent="0.25">
      <c r="B134" t="s">
        <v>36</v>
      </c>
      <c r="C134">
        <v>321</v>
      </c>
      <c r="D134">
        <v>8.9255099999999992</v>
      </c>
      <c r="E134">
        <v>2.7810000000000001E-2</v>
      </c>
    </row>
    <row r="135" spans="2:5" x14ac:dyDescent="0.25">
      <c r="B135" t="s">
        <v>418</v>
      </c>
      <c r="C135">
        <v>2</v>
      </c>
      <c r="D135">
        <v>5.5129999999999998E-2</v>
      </c>
      <c r="E135">
        <v>2.7570000000000001E-2</v>
      </c>
    </row>
    <row r="136" spans="2:5" x14ac:dyDescent="0.25">
      <c r="B136" t="s">
        <v>487</v>
      </c>
      <c r="C136">
        <v>157</v>
      </c>
      <c r="D136">
        <v>4.3283100000000001</v>
      </c>
      <c r="E136">
        <v>2.7570000000000001E-2</v>
      </c>
    </row>
    <row r="137" spans="2:5" x14ac:dyDescent="0.25">
      <c r="B137" t="s">
        <v>412</v>
      </c>
      <c r="C137">
        <v>475</v>
      </c>
      <c r="D137">
        <v>12.82044</v>
      </c>
      <c r="E137">
        <v>2.699E-2</v>
      </c>
    </row>
    <row r="138" spans="2:5" x14ac:dyDescent="0.25">
      <c r="B138" t="s">
        <v>27</v>
      </c>
      <c r="C138">
        <v>678</v>
      </c>
      <c r="D138">
        <v>18.294229999999999</v>
      </c>
      <c r="E138">
        <v>2.6980000000000001E-2</v>
      </c>
    </row>
    <row r="139" spans="2:5" x14ac:dyDescent="0.25">
      <c r="B139" t="s">
        <v>16</v>
      </c>
      <c r="C139">
        <v>215</v>
      </c>
      <c r="D139">
        <v>5.7781700000000003</v>
      </c>
      <c r="E139">
        <v>2.6880000000000001E-2</v>
      </c>
    </row>
    <row r="140" spans="2:5" x14ac:dyDescent="0.25">
      <c r="B140" t="s">
        <v>523</v>
      </c>
      <c r="C140">
        <v>443</v>
      </c>
      <c r="D140">
        <v>11.679740000000001</v>
      </c>
      <c r="E140">
        <v>2.6370000000000001E-2</v>
      </c>
    </row>
    <row r="141" spans="2:5" x14ac:dyDescent="0.25">
      <c r="B141" t="s">
        <v>333</v>
      </c>
      <c r="C141">
        <v>555</v>
      </c>
      <c r="D141">
        <v>14.442970000000001</v>
      </c>
      <c r="E141">
        <v>2.6020000000000001E-2</v>
      </c>
    </row>
    <row r="142" spans="2:5" x14ac:dyDescent="0.25">
      <c r="B142" t="s">
        <v>735</v>
      </c>
      <c r="C142">
        <v>134</v>
      </c>
      <c r="D142">
        <v>3.4840499999999999</v>
      </c>
      <c r="E142">
        <v>2.5999999999999999E-2</v>
      </c>
    </row>
    <row r="143" spans="2:5" x14ac:dyDescent="0.25">
      <c r="B143" t="s">
        <v>295</v>
      </c>
      <c r="C143">
        <v>402</v>
      </c>
      <c r="D143">
        <v>10.444509999999999</v>
      </c>
      <c r="E143">
        <v>2.598E-2</v>
      </c>
    </row>
    <row r="144" spans="2:5" x14ac:dyDescent="0.25">
      <c r="B144" t="s">
        <v>715</v>
      </c>
      <c r="C144">
        <v>211</v>
      </c>
      <c r="D144">
        <v>5.4140100000000002</v>
      </c>
      <c r="E144">
        <v>2.5659999999999999E-2</v>
      </c>
    </row>
    <row r="145" spans="2:5" x14ac:dyDescent="0.25">
      <c r="B145" t="s">
        <v>357</v>
      </c>
      <c r="C145">
        <v>291</v>
      </c>
      <c r="D145">
        <v>7.4563800000000002</v>
      </c>
      <c r="E145">
        <v>2.562E-2</v>
      </c>
    </row>
    <row r="146" spans="2:5" x14ac:dyDescent="0.25">
      <c r="B146" t="s">
        <v>129</v>
      </c>
      <c r="C146">
        <v>650</v>
      </c>
      <c r="D146">
        <v>16.421250000000001</v>
      </c>
      <c r="E146">
        <v>2.5260000000000001E-2</v>
      </c>
    </row>
    <row r="147" spans="2:5" x14ac:dyDescent="0.25">
      <c r="B147" t="s">
        <v>2</v>
      </c>
      <c r="C147">
        <v>551</v>
      </c>
      <c r="D147">
        <v>13.90204</v>
      </c>
      <c r="E147">
        <v>2.5229999999999999E-2</v>
      </c>
    </row>
    <row r="148" spans="2:5" x14ac:dyDescent="0.25">
      <c r="B148" t="s">
        <v>64</v>
      </c>
      <c r="C148">
        <v>604</v>
      </c>
      <c r="D148">
        <v>15.117010000000001</v>
      </c>
      <c r="E148">
        <v>2.503E-2</v>
      </c>
    </row>
    <row r="149" spans="2:5" x14ac:dyDescent="0.25">
      <c r="B149" t="s">
        <v>280</v>
      </c>
      <c r="C149">
        <v>599</v>
      </c>
      <c r="D149">
        <v>14.85511</v>
      </c>
      <c r="E149">
        <v>2.4799999999999999E-2</v>
      </c>
    </row>
    <row r="150" spans="2:5" x14ac:dyDescent="0.25">
      <c r="B150" t="s">
        <v>156</v>
      </c>
      <c r="C150">
        <v>461</v>
      </c>
      <c r="D150">
        <v>11.375579999999999</v>
      </c>
      <c r="E150">
        <v>2.4680000000000001E-2</v>
      </c>
    </row>
    <row r="151" spans="2:5" x14ac:dyDescent="0.25">
      <c r="B151" t="s">
        <v>600</v>
      </c>
      <c r="C151">
        <v>251</v>
      </c>
      <c r="D151">
        <v>6.1514199999999999</v>
      </c>
      <c r="E151">
        <v>2.4510000000000001E-2</v>
      </c>
    </row>
    <row r="152" spans="2:5" x14ac:dyDescent="0.25">
      <c r="B152" t="s">
        <v>439</v>
      </c>
      <c r="C152">
        <v>547</v>
      </c>
      <c r="D152">
        <v>13.38979</v>
      </c>
      <c r="E152">
        <v>2.4479999999999998E-2</v>
      </c>
    </row>
    <row r="153" spans="2:5" x14ac:dyDescent="0.25">
      <c r="B153" t="s">
        <v>84</v>
      </c>
      <c r="C153">
        <v>582</v>
      </c>
      <c r="D153">
        <v>13.958679999999999</v>
      </c>
      <c r="E153">
        <v>2.3980000000000001E-2</v>
      </c>
    </row>
    <row r="154" spans="2:5" x14ac:dyDescent="0.25">
      <c r="B154" t="s">
        <v>470</v>
      </c>
      <c r="C154">
        <v>3</v>
      </c>
      <c r="D154">
        <v>7.1910000000000002E-2</v>
      </c>
      <c r="E154">
        <v>2.3970000000000002E-2</v>
      </c>
    </row>
    <row r="155" spans="2:5" x14ac:dyDescent="0.25">
      <c r="B155" t="s">
        <v>74</v>
      </c>
      <c r="C155">
        <v>375</v>
      </c>
      <c r="D155">
        <v>8.9678900000000006</v>
      </c>
      <c r="E155">
        <v>2.3910000000000001E-2</v>
      </c>
    </row>
    <row r="156" spans="2:5" x14ac:dyDescent="0.25">
      <c r="B156" t="s">
        <v>193</v>
      </c>
      <c r="C156">
        <v>572</v>
      </c>
      <c r="D156">
        <v>13.57849</v>
      </c>
      <c r="E156">
        <v>2.3740000000000001E-2</v>
      </c>
    </row>
    <row r="157" spans="2:5" x14ac:dyDescent="0.25">
      <c r="B157" t="s">
        <v>386</v>
      </c>
      <c r="C157">
        <v>637</v>
      </c>
      <c r="D157">
        <v>15.059839999999999</v>
      </c>
      <c r="E157">
        <v>2.3640000000000001E-2</v>
      </c>
    </row>
    <row r="158" spans="2:5" x14ac:dyDescent="0.25">
      <c r="B158" t="s">
        <v>503</v>
      </c>
      <c r="C158">
        <v>686</v>
      </c>
      <c r="D158">
        <v>16.168679999999998</v>
      </c>
      <c r="E158">
        <v>2.3570000000000001E-2</v>
      </c>
    </row>
    <row r="159" spans="2:5" x14ac:dyDescent="0.25">
      <c r="B159" t="s">
        <v>111</v>
      </c>
      <c r="C159">
        <v>625</v>
      </c>
      <c r="D159">
        <v>14.68017</v>
      </c>
      <c r="E159">
        <v>2.349E-2</v>
      </c>
    </row>
    <row r="160" spans="2:5" x14ac:dyDescent="0.25">
      <c r="B160" t="s">
        <v>239</v>
      </c>
      <c r="C160">
        <v>179</v>
      </c>
      <c r="D160">
        <v>4.1977900000000004</v>
      </c>
      <c r="E160">
        <v>2.3449999999999999E-2</v>
      </c>
    </row>
    <row r="161" spans="2:5" x14ac:dyDescent="0.25">
      <c r="B161" t="s">
        <v>83</v>
      </c>
      <c r="C161">
        <v>501</v>
      </c>
      <c r="D161">
        <v>11.673389999999999</v>
      </c>
      <c r="E161">
        <v>2.3300000000000001E-2</v>
      </c>
    </row>
    <row r="162" spans="2:5" x14ac:dyDescent="0.25">
      <c r="B162" t="s">
        <v>314</v>
      </c>
      <c r="C162">
        <v>315</v>
      </c>
      <c r="D162">
        <v>7.3299000000000003</v>
      </c>
      <c r="E162">
        <v>2.3269999999999999E-2</v>
      </c>
    </row>
    <row r="163" spans="2:5" x14ac:dyDescent="0.25">
      <c r="B163" t="s">
        <v>515</v>
      </c>
      <c r="C163">
        <v>209</v>
      </c>
      <c r="D163">
        <v>4.8343100000000003</v>
      </c>
      <c r="E163">
        <v>2.3130000000000001E-2</v>
      </c>
    </row>
    <row r="164" spans="2:5" x14ac:dyDescent="0.25">
      <c r="B164" t="s">
        <v>209</v>
      </c>
      <c r="C164">
        <v>595</v>
      </c>
      <c r="D164">
        <v>13.55983</v>
      </c>
      <c r="E164">
        <v>2.2790000000000001E-2</v>
      </c>
    </row>
    <row r="165" spans="2:5" x14ac:dyDescent="0.25">
      <c r="B165" t="s">
        <v>586</v>
      </c>
      <c r="C165">
        <v>5</v>
      </c>
      <c r="D165">
        <v>0.113</v>
      </c>
      <c r="E165">
        <v>2.2599999999999999E-2</v>
      </c>
    </row>
    <row r="166" spans="2:5" x14ac:dyDescent="0.25">
      <c r="B166" t="s">
        <v>737</v>
      </c>
      <c r="C166">
        <v>58</v>
      </c>
      <c r="D166">
        <v>1.2885599999999999</v>
      </c>
      <c r="E166">
        <v>2.222E-2</v>
      </c>
    </row>
    <row r="167" spans="2:5" x14ac:dyDescent="0.25">
      <c r="B167" t="s">
        <v>98</v>
      </c>
      <c r="C167">
        <v>466</v>
      </c>
      <c r="D167">
        <v>10.1073</v>
      </c>
      <c r="E167">
        <v>2.1690000000000001E-2</v>
      </c>
    </row>
    <row r="168" spans="2:5" x14ac:dyDescent="0.25">
      <c r="B168" t="s">
        <v>369</v>
      </c>
      <c r="C168">
        <v>653</v>
      </c>
      <c r="D168">
        <v>14.049939999999999</v>
      </c>
      <c r="E168">
        <v>2.1520000000000001E-2</v>
      </c>
    </row>
    <row r="169" spans="2:5" x14ac:dyDescent="0.25">
      <c r="B169" t="s">
        <v>392</v>
      </c>
      <c r="C169">
        <v>33</v>
      </c>
      <c r="D169">
        <v>0.68030000000000002</v>
      </c>
      <c r="E169">
        <v>2.0619999999999999E-2</v>
      </c>
    </row>
    <row r="170" spans="2:5" x14ac:dyDescent="0.25">
      <c r="B170" t="s">
        <v>440</v>
      </c>
      <c r="C170">
        <v>375</v>
      </c>
      <c r="D170">
        <v>7.67333</v>
      </c>
      <c r="E170">
        <v>2.0459999999999999E-2</v>
      </c>
    </row>
    <row r="171" spans="2:5" x14ac:dyDescent="0.25">
      <c r="B171" t="s">
        <v>122</v>
      </c>
      <c r="C171">
        <v>8</v>
      </c>
      <c r="D171">
        <v>0.16345999999999999</v>
      </c>
      <c r="E171">
        <v>2.043E-2</v>
      </c>
    </row>
    <row r="172" spans="2:5" x14ac:dyDescent="0.25">
      <c r="B172" t="s">
        <v>211</v>
      </c>
      <c r="C172">
        <v>238</v>
      </c>
      <c r="D172">
        <v>4.8423499999999997</v>
      </c>
      <c r="E172">
        <v>2.035E-2</v>
      </c>
    </row>
    <row r="173" spans="2:5" x14ac:dyDescent="0.25">
      <c r="B173" t="s">
        <v>52</v>
      </c>
      <c r="C173">
        <v>642</v>
      </c>
      <c r="D173">
        <v>13.05364</v>
      </c>
      <c r="E173">
        <v>2.0330000000000001E-2</v>
      </c>
    </row>
    <row r="174" spans="2:5" x14ac:dyDescent="0.25">
      <c r="B174" t="s">
        <v>604</v>
      </c>
      <c r="C174">
        <v>305</v>
      </c>
      <c r="D174">
        <v>6.1896500000000003</v>
      </c>
      <c r="E174">
        <v>2.0289999999999999E-2</v>
      </c>
    </row>
    <row r="175" spans="2:5" x14ac:dyDescent="0.25">
      <c r="B175" t="s">
        <v>724</v>
      </c>
      <c r="C175">
        <v>231</v>
      </c>
      <c r="D175">
        <v>4.6272399999999996</v>
      </c>
      <c r="E175">
        <v>2.0029999999999999E-2</v>
      </c>
    </row>
    <row r="176" spans="2:5" x14ac:dyDescent="0.25">
      <c r="B176" t="s">
        <v>51</v>
      </c>
      <c r="C176">
        <v>616</v>
      </c>
      <c r="D176">
        <v>12.27904</v>
      </c>
      <c r="E176">
        <v>1.993E-2</v>
      </c>
    </row>
    <row r="177" spans="2:5" x14ac:dyDescent="0.25">
      <c r="B177" t="s">
        <v>226</v>
      </c>
      <c r="C177">
        <v>724</v>
      </c>
      <c r="D177">
        <v>14.07382</v>
      </c>
      <c r="E177">
        <v>1.9439999999999999E-2</v>
      </c>
    </row>
    <row r="178" spans="2:5" x14ac:dyDescent="0.25">
      <c r="B178" t="s">
        <v>141</v>
      </c>
      <c r="C178">
        <v>538</v>
      </c>
      <c r="D178">
        <v>10.419320000000001</v>
      </c>
      <c r="E178">
        <v>1.9369999999999998E-2</v>
      </c>
    </row>
    <row r="179" spans="2:5" x14ac:dyDescent="0.25">
      <c r="B179" t="s">
        <v>507</v>
      </c>
      <c r="C179">
        <v>32</v>
      </c>
      <c r="D179">
        <v>0.61526000000000003</v>
      </c>
      <c r="E179">
        <v>1.9230000000000001E-2</v>
      </c>
    </row>
    <row r="180" spans="2:5" x14ac:dyDescent="0.25">
      <c r="B180" t="s">
        <v>99</v>
      </c>
      <c r="C180">
        <v>412</v>
      </c>
      <c r="D180">
        <v>7.8944000000000001</v>
      </c>
      <c r="E180">
        <v>1.916E-2</v>
      </c>
    </row>
    <row r="181" spans="2:5" x14ac:dyDescent="0.25">
      <c r="B181" t="s">
        <v>208</v>
      </c>
      <c r="C181">
        <v>582</v>
      </c>
      <c r="D181">
        <v>10.92564</v>
      </c>
      <c r="E181">
        <v>1.8769999999999998E-2</v>
      </c>
    </row>
    <row r="182" spans="2:5" x14ac:dyDescent="0.25">
      <c r="B182" t="s">
        <v>199</v>
      </c>
      <c r="C182">
        <v>604</v>
      </c>
      <c r="D182">
        <v>11.0505</v>
      </c>
      <c r="E182">
        <v>1.83E-2</v>
      </c>
    </row>
    <row r="183" spans="2:5" x14ac:dyDescent="0.25">
      <c r="B183" t="s">
        <v>70</v>
      </c>
      <c r="C183">
        <v>277</v>
      </c>
      <c r="D183">
        <v>4.9797799999999999</v>
      </c>
      <c r="E183">
        <v>1.7979999999999999E-2</v>
      </c>
    </row>
    <row r="184" spans="2:5" x14ac:dyDescent="0.25">
      <c r="B184" t="s">
        <v>38</v>
      </c>
      <c r="C184">
        <v>243</v>
      </c>
      <c r="D184">
        <v>4.3515600000000001</v>
      </c>
      <c r="E184">
        <v>1.7909999999999999E-2</v>
      </c>
    </row>
    <row r="185" spans="2:5" x14ac:dyDescent="0.25">
      <c r="B185" t="s">
        <v>639</v>
      </c>
      <c r="C185">
        <v>77</v>
      </c>
      <c r="D185">
        <v>1.3787100000000001</v>
      </c>
      <c r="E185">
        <v>1.7909999999999999E-2</v>
      </c>
    </row>
    <row r="186" spans="2:5" x14ac:dyDescent="0.25">
      <c r="B186" t="s">
        <v>178</v>
      </c>
      <c r="C186">
        <v>529</v>
      </c>
      <c r="D186">
        <v>9.3270999999999997</v>
      </c>
      <c r="E186">
        <v>1.763E-2</v>
      </c>
    </row>
    <row r="187" spans="2:5" x14ac:dyDescent="0.25">
      <c r="B187" t="s">
        <v>242</v>
      </c>
      <c r="C187">
        <v>643</v>
      </c>
      <c r="D187">
        <v>11.30387</v>
      </c>
      <c r="E187">
        <v>1.7579999999999998E-2</v>
      </c>
    </row>
    <row r="188" spans="2:5" x14ac:dyDescent="0.25">
      <c r="B188" t="s">
        <v>377</v>
      </c>
      <c r="C188">
        <v>264</v>
      </c>
      <c r="D188">
        <v>4.6313599999999999</v>
      </c>
      <c r="E188">
        <v>1.754E-2</v>
      </c>
    </row>
    <row r="189" spans="2:5" x14ac:dyDescent="0.25">
      <c r="B189" t="s">
        <v>128</v>
      </c>
      <c r="C189">
        <v>670</v>
      </c>
      <c r="D189">
        <v>11.65387</v>
      </c>
      <c r="E189">
        <v>1.7389999999999999E-2</v>
      </c>
    </row>
    <row r="190" spans="2:5" x14ac:dyDescent="0.25">
      <c r="B190" t="s">
        <v>703</v>
      </c>
      <c r="C190">
        <v>48</v>
      </c>
      <c r="D190">
        <v>0.81269999999999998</v>
      </c>
      <c r="E190">
        <v>1.6930000000000001E-2</v>
      </c>
    </row>
    <row r="191" spans="2:5" x14ac:dyDescent="0.25">
      <c r="B191" t="s">
        <v>254</v>
      </c>
      <c r="C191">
        <v>576</v>
      </c>
      <c r="D191">
        <v>9.7035999999999998</v>
      </c>
      <c r="E191">
        <v>1.685E-2</v>
      </c>
    </row>
    <row r="192" spans="2:5" x14ac:dyDescent="0.25">
      <c r="B192" t="s">
        <v>484</v>
      </c>
      <c r="C192">
        <v>574</v>
      </c>
      <c r="D192">
        <v>9.6280099999999997</v>
      </c>
      <c r="E192">
        <v>1.677E-2</v>
      </c>
    </row>
    <row r="193" spans="2:5" x14ac:dyDescent="0.25">
      <c r="B193" t="s">
        <v>410</v>
      </c>
      <c r="C193">
        <v>492</v>
      </c>
      <c r="D193">
        <v>8.2361400000000007</v>
      </c>
      <c r="E193">
        <v>1.6740000000000001E-2</v>
      </c>
    </row>
    <row r="194" spans="2:5" x14ac:dyDescent="0.25">
      <c r="B194" t="s">
        <v>39</v>
      </c>
      <c r="C194">
        <v>543</v>
      </c>
      <c r="D194">
        <v>8.7923299999999998</v>
      </c>
      <c r="E194">
        <v>1.619E-2</v>
      </c>
    </row>
    <row r="195" spans="2:5" x14ac:dyDescent="0.25">
      <c r="B195" t="s">
        <v>455</v>
      </c>
      <c r="C195">
        <v>427</v>
      </c>
      <c r="D195">
        <v>6.8643299999999998</v>
      </c>
      <c r="E195">
        <v>1.6080000000000001E-2</v>
      </c>
    </row>
    <row r="196" spans="2:5" x14ac:dyDescent="0.25">
      <c r="B196" t="s">
        <v>197</v>
      </c>
      <c r="C196">
        <v>453</v>
      </c>
      <c r="D196">
        <v>7.2424999999999997</v>
      </c>
      <c r="E196">
        <v>1.5990000000000001E-2</v>
      </c>
    </row>
    <row r="197" spans="2:5" x14ac:dyDescent="0.25">
      <c r="B197" t="s">
        <v>67</v>
      </c>
      <c r="C197">
        <v>541</v>
      </c>
      <c r="D197">
        <v>8.2243899999999996</v>
      </c>
      <c r="E197">
        <v>1.52E-2</v>
      </c>
    </row>
    <row r="198" spans="2:5" x14ac:dyDescent="0.25">
      <c r="B198" t="s">
        <v>764</v>
      </c>
      <c r="C198">
        <v>3</v>
      </c>
      <c r="D198">
        <v>4.539E-2</v>
      </c>
      <c r="E198">
        <v>1.5129999999999999E-2</v>
      </c>
    </row>
    <row r="199" spans="2:5" x14ac:dyDescent="0.25">
      <c r="B199" t="s">
        <v>672</v>
      </c>
      <c r="C199">
        <v>140</v>
      </c>
      <c r="D199">
        <v>2.1170399999999998</v>
      </c>
      <c r="E199">
        <v>1.512E-2</v>
      </c>
    </row>
    <row r="200" spans="2:5" x14ac:dyDescent="0.25">
      <c r="B200" t="s">
        <v>275</v>
      </c>
      <c r="C200">
        <v>538</v>
      </c>
      <c r="D200">
        <v>8.1176200000000005</v>
      </c>
      <c r="E200">
        <v>1.5089999999999999E-2</v>
      </c>
    </row>
    <row r="201" spans="2:5" x14ac:dyDescent="0.25">
      <c r="B201" t="s">
        <v>848</v>
      </c>
      <c r="C201">
        <v>9</v>
      </c>
      <c r="D201">
        <v>0.13578999999999999</v>
      </c>
      <c r="E201">
        <v>1.5089999999999999E-2</v>
      </c>
    </row>
    <row r="202" spans="2:5" x14ac:dyDescent="0.25">
      <c r="B202" t="s">
        <v>551</v>
      </c>
      <c r="C202">
        <v>131</v>
      </c>
      <c r="D202">
        <v>1.96685</v>
      </c>
      <c r="E202">
        <v>1.5010000000000001E-2</v>
      </c>
    </row>
    <row r="203" spans="2:5" x14ac:dyDescent="0.25">
      <c r="B203" t="s">
        <v>619</v>
      </c>
      <c r="C203">
        <v>107</v>
      </c>
      <c r="D203">
        <v>1.5743100000000001</v>
      </c>
      <c r="E203">
        <v>1.4710000000000001E-2</v>
      </c>
    </row>
    <row r="204" spans="2:5" x14ac:dyDescent="0.25">
      <c r="B204" t="s">
        <v>29</v>
      </c>
      <c r="C204">
        <v>400</v>
      </c>
      <c r="D204">
        <v>5.8411200000000001</v>
      </c>
      <c r="E204">
        <v>1.46E-2</v>
      </c>
    </row>
    <row r="205" spans="2:5" x14ac:dyDescent="0.25">
      <c r="B205" t="s">
        <v>481</v>
      </c>
      <c r="C205">
        <v>537</v>
      </c>
      <c r="D205">
        <v>7.8331999999999997</v>
      </c>
      <c r="E205">
        <v>1.4590000000000001E-2</v>
      </c>
    </row>
    <row r="206" spans="2:5" x14ac:dyDescent="0.25">
      <c r="B206" t="s">
        <v>325</v>
      </c>
      <c r="C206">
        <v>264</v>
      </c>
      <c r="D206">
        <v>3.7673399999999999</v>
      </c>
      <c r="E206">
        <v>1.427E-2</v>
      </c>
    </row>
    <row r="207" spans="2:5" x14ac:dyDescent="0.25">
      <c r="B207" t="s">
        <v>144</v>
      </c>
      <c r="C207">
        <v>602</v>
      </c>
      <c r="D207">
        <v>8.5744299999999996</v>
      </c>
      <c r="E207">
        <v>1.4239999999999999E-2</v>
      </c>
    </row>
    <row r="208" spans="2:5" x14ac:dyDescent="0.25">
      <c r="B208" t="s">
        <v>367</v>
      </c>
      <c r="C208">
        <v>619</v>
      </c>
      <c r="D208">
        <v>8.7731700000000004</v>
      </c>
      <c r="E208">
        <v>1.417E-2</v>
      </c>
    </row>
    <row r="209" spans="2:5" x14ac:dyDescent="0.25">
      <c r="B209" t="s">
        <v>117</v>
      </c>
      <c r="C209">
        <v>448</v>
      </c>
      <c r="D209">
        <v>6.2896900000000002</v>
      </c>
      <c r="E209">
        <v>1.404E-2</v>
      </c>
    </row>
    <row r="210" spans="2:5" x14ac:dyDescent="0.25">
      <c r="B210" t="s">
        <v>116</v>
      </c>
      <c r="C210">
        <v>512</v>
      </c>
      <c r="D210">
        <v>7.1584899999999996</v>
      </c>
      <c r="E210">
        <v>1.3979999999999999E-2</v>
      </c>
    </row>
    <row r="211" spans="2:5" x14ac:dyDescent="0.25">
      <c r="B211" t="s">
        <v>174</v>
      </c>
      <c r="C211">
        <v>297</v>
      </c>
      <c r="D211">
        <v>3.9535999999999998</v>
      </c>
      <c r="E211">
        <v>1.3310000000000001E-2</v>
      </c>
    </row>
    <row r="212" spans="2:5" x14ac:dyDescent="0.25">
      <c r="B212" t="s">
        <v>385</v>
      </c>
      <c r="C212">
        <v>524</v>
      </c>
      <c r="D212">
        <v>6.9168200000000004</v>
      </c>
      <c r="E212">
        <v>1.32E-2</v>
      </c>
    </row>
    <row r="213" spans="2:5" x14ac:dyDescent="0.25">
      <c r="B213" t="s">
        <v>229</v>
      </c>
      <c r="C213">
        <v>189</v>
      </c>
      <c r="D213">
        <v>2.4494400000000001</v>
      </c>
      <c r="E213">
        <v>1.2959999999999999E-2</v>
      </c>
    </row>
    <row r="214" spans="2:5" x14ac:dyDescent="0.25">
      <c r="B214" t="s">
        <v>616</v>
      </c>
      <c r="C214">
        <v>348</v>
      </c>
      <c r="D214">
        <v>4.4971800000000002</v>
      </c>
      <c r="E214">
        <v>1.2919999999999999E-2</v>
      </c>
    </row>
    <row r="215" spans="2:5" x14ac:dyDescent="0.25">
      <c r="B215" t="s">
        <v>1034</v>
      </c>
      <c r="C215">
        <v>2</v>
      </c>
      <c r="D215">
        <v>2.4369999999999999E-2</v>
      </c>
      <c r="E215">
        <v>1.2189999999999999E-2</v>
      </c>
    </row>
    <row r="216" spans="2:5" x14ac:dyDescent="0.25">
      <c r="B216" t="s">
        <v>505</v>
      </c>
      <c r="C216">
        <v>653</v>
      </c>
      <c r="D216">
        <v>7.9272600000000004</v>
      </c>
      <c r="E216">
        <v>1.214E-2</v>
      </c>
    </row>
    <row r="217" spans="2:5" x14ac:dyDescent="0.25">
      <c r="B217" t="s">
        <v>343</v>
      </c>
      <c r="C217">
        <v>568</v>
      </c>
      <c r="D217">
        <v>6.8434900000000001</v>
      </c>
      <c r="E217">
        <v>1.205E-2</v>
      </c>
    </row>
    <row r="218" spans="2:5" x14ac:dyDescent="0.25">
      <c r="B218" t="s">
        <v>420</v>
      </c>
      <c r="C218">
        <v>302</v>
      </c>
      <c r="D218">
        <v>3.6126800000000001</v>
      </c>
      <c r="E218">
        <v>1.196E-2</v>
      </c>
    </row>
    <row r="219" spans="2:5" x14ac:dyDescent="0.25">
      <c r="B219" t="s">
        <v>805</v>
      </c>
      <c r="C219">
        <v>38</v>
      </c>
      <c r="D219">
        <v>0.45319999999999999</v>
      </c>
      <c r="E219">
        <v>1.193E-2</v>
      </c>
    </row>
    <row r="220" spans="2:5" x14ac:dyDescent="0.25">
      <c r="B220" t="s">
        <v>207</v>
      </c>
      <c r="C220">
        <v>415</v>
      </c>
      <c r="D220">
        <v>4.9454000000000002</v>
      </c>
      <c r="E220">
        <v>1.192E-2</v>
      </c>
    </row>
    <row r="221" spans="2:5" x14ac:dyDescent="0.25">
      <c r="B221" t="s">
        <v>237</v>
      </c>
      <c r="C221">
        <v>508</v>
      </c>
      <c r="D221">
        <v>5.9359999999999999</v>
      </c>
      <c r="E221">
        <v>1.1690000000000001E-2</v>
      </c>
    </row>
    <row r="222" spans="2:5" x14ac:dyDescent="0.25">
      <c r="B222" t="s">
        <v>394</v>
      </c>
      <c r="C222">
        <v>88</v>
      </c>
      <c r="D222">
        <v>1.0054399999999999</v>
      </c>
      <c r="E222">
        <v>1.1429999999999999E-2</v>
      </c>
    </row>
    <row r="223" spans="2:5" x14ac:dyDescent="0.25">
      <c r="B223" t="s">
        <v>510</v>
      </c>
      <c r="C223">
        <v>481</v>
      </c>
      <c r="D223">
        <v>5.4922899999999997</v>
      </c>
      <c r="E223">
        <v>1.142E-2</v>
      </c>
    </row>
    <row r="224" spans="2:5" x14ac:dyDescent="0.25">
      <c r="B224" t="s">
        <v>195</v>
      </c>
      <c r="C224">
        <v>181</v>
      </c>
      <c r="D224">
        <v>1.98898</v>
      </c>
      <c r="E224">
        <v>1.099E-2</v>
      </c>
    </row>
    <row r="225" spans="2:5" x14ac:dyDescent="0.25">
      <c r="B225" t="s">
        <v>629</v>
      </c>
      <c r="C225">
        <v>4</v>
      </c>
      <c r="D225">
        <v>4.3770000000000003E-2</v>
      </c>
      <c r="E225">
        <v>1.094E-2</v>
      </c>
    </row>
    <row r="226" spans="2:5" x14ac:dyDescent="0.25">
      <c r="B226" t="s">
        <v>150</v>
      </c>
      <c r="C226">
        <v>671</v>
      </c>
      <c r="D226">
        <v>7.0511200000000001</v>
      </c>
      <c r="E226">
        <v>1.051E-2</v>
      </c>
    </row>
    <row r="227" spans="2:5" x14ac:dyDescent="0.25">
      <c r="B227" t="s">
        <v>5</v>
      </c>
      <c r="C227">
        <v>616</v>
      </c>
      <c r="D227">
        <v>6.4602000000000004</v>
      </c>
      <c r="E227">
        <v>1.0489999999999999E-2</v>
      </c>
    </row>
    <row r="228" spans="2:5" x14ac:dyDescent="0.25">
      <c r="B228" t="s">
        <v>90</v>
      </c>
      <c r="C228">
        <v>96</v>
      </c>
      <c r="D228">
        <v>0.99448999999999999</v>
      </c>
      <c r="E228">
        <v>1.0359999999999999E-2</v>
      </c>
    </row>
    <row r="229" spans="2:5" x14ac:dyDescent="0.25">
      <c r="B229" t="s">
        <v>215</v>
      </c>
      <c r="C229">
        <v>596</v>
      </c>
      <c r="D229">
        <v>5.7469099999999997</v>
      </c>
      <c r="E229">
        <v>9.6399999999999993E-3</v>
      </c>
    </row>
    <row r="230" spans="2:5" x14ac:dyDescent="0.25">
      <c r="B230" t="s">
        <v>731</v>
      </c>
      <c r="C230">
        <v>359</v>
      </c>
      <c r="D230">
        <v>3.41018</v>
      </c>
      <c r="E230">
        <v>9.4999999999999998E-3</v>
      </c>
    </row>
    <row r="231" spans="2:5" x14ac:dyDescent="0.25">
      <c r="B231" t="s">
        <v>164</v>
      </c>
      <c r="C231">
        <v>532</v>
      </c>
      <c r="D231">
        <v>4.9358199999999997</v>
      </c>
      <c r="E231">
        <v>9.2800000000000001E-3</v>
      </c>
    </row>
    <row r="232" spans="2:5" x14ac:dyDescent="0.25">
      <c r="B232" t="s">
        <v>406</v>
      </c>
      <c r="C232">
        <v>172</v>
      </c>
      <c r="D232">
        <v>1.5444199999999999</v>
      </c>
      <c r="E232">
        <v>8.9800000000000001E-3</v>
      </c>
    </row>
    <row r="233" spans="2:5" x14ac:dyDescent="0.25">
      <c r="B233" t="s">
        <v>77</v>
      </c>
      <c r="C233">
        <v>292</v>
      </c>
      <c r="D233">
        <v>2.59857</v>
      </c>
      <c r="E233">
        <v>8.8999999999999999E-3</v>
      </c>
    </row>
    <row r="234" spans="2:5" x14ac:dyDescent="0.25">
      <c r="B234" t="s">
        <v>689</v>
      </c>
      <c r="C234">
        <v>272</v>
      </c>
      <c r="D234">
        <v>2.36836</v>
      </c>
      <c r="E234">
        <v>8.7100000000000007E-3</v>
      </c>
    </row>
    <row r="235" spans="2:5" x14ac:dyDescent="0.25">
      <c r="B235" t="s">
        <v>774</v>
      </c>
      <c r="C235">
        <v>124</v>
      </c>
      <c r="D235">
        <v>1.0771500000000001</v>
      </c>
      <c r="E235">
        <v>8.6899999999999998E-3</v>
      </c>
    </row>
    <row r="236" spans="2:5" x14ac:dyDescent="0.25">
      <c r="B236" t="s">
        <v>251</v>
      </c>
      <c r="C236">
        <v>500</v>
      </c>
      <c r="D236">
        <v>4.2578399999999998</v>
      </c>
      <c r="E236">
        <v>8.5199999999999998E-3</v>
      </c>
    </row>
    <row r="237" spans="2:5" x14ac:dyDescent="0.25">
      <c r="B237" t="s">
        <v>456</v>
      </c>
      <c r="C237">
        <v>240</v>
      </c>
      <c r="D237">
        <v>2.0254300000000001</v>
      </c>
      <c r="E237">
        <v>8.4399999999999996E-3</v>
      </c>
    </row>
    <row r="238" spans="2:5" x14ac:dyDescent="0.25">
      <c r="B238" t="s">
        <v>425</v>
      </c>
      <c r="C238">
        <v>208</v>
      </c>
      <c r="D238">
        <v>1.70011</v>
      </c>
      <c r="E238">
        <v>8.1700000000000002E-3</v>
      </c>
    </row>
    <row r="239" spans="2:5" x14ac:dyDescent="0.25">
      <c r="B239" t="s">
        <v>240</v>
      </c>
      <c r="C239">
        <v>163</v>
      </c>
      <c r="D239">
        <v>1.2545299999999999</v>
      </c>
      <c r="E239">
        <v>7.7000000000000002E-3</v>
      </c>
    </row>
    <row r="240" spans="2:5" x14ac:dyDescent="0.25">
      <c r="B240" t="s">
        <v>996</v>
      </c>
      <c r="C240">
        <v>2</v>
      </c>
      <c r="D240">
        <v>1.54E-2</v>
      </c>
      <c r="E240">
        <v>7.7000000000000002E-3</v>
      </c>
    </row>
    <row r="241" spans="2:5" x14ac:dyDescent="0.25">
      <c r="B241" t="s">
        <v>884</v>
      </c>
      <c r="C241">
        <v>23</v>
      </c>
      <c r="D241">
        <v>0.16891</v>
      </c>
      <c r="E241">
        <v>7.3400000000000002E-3</v>
      </c>
    </row>
    <row r="242" spans="2:5" x14ac:dyDescent="0.25">
      <c r="B242" t="s">
        <v>42</v>
      </c>
      <c r="C242">
        <v>479</v>
      </c>
      <c r="D242">
        <v>3.5029699999999999</v>
      </c>
      <c r="E242">
        <v>7.3099999999999997E-3</v>
      </c>
    </row>
    <row r="243" spans="2:5" x14ac:dyDescent="0.25">
      <c r="B243" t="s">
        <v>72</v>
      </c>
      <c r="C243">
        <v>390</v>
      </c>
      <c r="D243">
        <v>2.60439</v>
      </c>
      <c r="E243">
        <v>6.6800000000000002E-3</v>
      </c>
    </row>
    <row r="244" spans="2:5" x14ac:dyDescent="0.25">
      <c r="B244" t="s">
        <v>180</v>
      </c>
      <c r="C244">
        <v>586</v>
      </c>
      <c r="D244">
        <v>3.76919</v>
      </c>
      <c r="E244">
        <v>6.43E-3</v>
      </c>
    </row>
    <row r="245" spans="2:5" x14ac:dyDescent="0.25">
      <c r="B245" t="s">
        <v>411</v>
      </c>
      <c r="C245">
        <v>259</v>
      </c>
      <c r="D245">
        <v>1.5841700000000001</v>
      </c>
      <c r="E245">
        <v>6.1199999999999996E-3</v>
      </c>
    </row>
    <row r="246" spans="2:5" x14ac:dyDescent="0.25">
      <c r="B246" t="s">
        <v>87</v>
      </c>
      <c r="C246">
        <v>381</v>
      </c>
      <c r="D246">
        <v>2.3158599999999998</v>
      </c>
      <c r="E246">
        <v>6.0800000000000003E-3</v>
      </c>
    </row>
    <row r="247" spans="2:5" x14ac:dyDescent="0.25">
      <c r="B247" t="s">
        <v>480</v>
      </c>
      <c r="C247">
        <v>567</v>
      </c>
      <c r="D247">
        <v>3.33534</v>
      </c>
      <c r="E247">
        <v>5.8799999999999998E-3</v>
      </c>
    </row>
    <row r="248" spans="2:5" x14ac:dyDescent="0.25">
      <c r="B248" t="s">
        <v>282</v>
      </c>
      <c r="C248">
        <v>359</v>
      </c>
      <c r="D248">
        <v>2.02345</v>
      </c>
      <c r="E248">
        <v>5.64E-3</v>
      </c>
    </row>
    <row r="249" spans="2:5" x14ac:dyDescent="0.25">
      <c r="B249" t="s">
        <v>928</v>
      </c>
      <c r="C249">
        <v>7</v>
      </c>
      <c r="D249">
        <v>3.9129999999999998E-2</v>
      </c>
      <c r="E249">
        <v>5.5900000000000004E-3</v>
      </c>
    </row>
    <row r="250" spans="2:5" x14ac:dyDescent="0.25">
      <c r="B250" t="s">
        <v>485</v>
      </c>
      <c r="C250">
        <v>377</v>
      </c>
      <c r="D250">
        <v>2.0768900000000001</v>
      </c>
      <c r="E250">
        <v>5.5100000000000001E-3</v>
      </c>
    </row>
    <row r="251" spans="2:5" x14ac:dyDescent="0.25">
      <c r="B251" t="s">
        <v>147</v>
      </c>
      <c r="C251">
        <v>565</v>
      </c>
      <c r="D251">
        <v>2.7670300000000001</v>
      </c>
      <c r="E251">
        <v>4.8999999999999998E-3</v>
      </c>
    </row>
    <row r="252" spans="2:5" x14ac:dyDescent="0.25">
      <c r="B252" t="s">
        <v>244</v>
      </c>
      <c r="C252">
        <v>565</v>
      </c>
      <c r="D252">
        <v>2.76614</v>
      </c>
      <c r="E252">
        <v>4.8999999999999998E-3</v>
      </c>
    </row>
    <row r="253" spans="2:5" x14ac:dyDescent="0.25">
      <c r="B253" t="s">
        <v>161</v>
      </c>
      <c r="C253">
        <v>127</v>
      </c>
      <c r="D253">
        <v>0.57152000000000003</v>
      </c>
      <c r="E253">
        <v>4.4999999999999997E-3</v>
      </c>
    </row>
    <row r="254" spans="2:5" x14ac:dyDescent="0.25">
      <c r="B254" t="s">
        <v>246</v>
      </c>
      <c r="C254">
        <v>527</v>
      </c>
      <c r="D254">
        <v>2.3717000000000001</v>
      </c>
      <c r="E254">
        <v>4.4999999999999997E-3</v>
      </c>
    </row>
    <row r="255" spans="2:5" x14ac:dyDescent="0.25">
      <c r="B255" t="s">
        <v>405</v>
      </c>
      <c r="C255">
        <v>15</v>
      </c>
      <c r="D255">
        <v>6.3310000000000005E-2</v>
      </c>
      <c r="E255">
        <v>4.2199999999999998E-3</v>
      </c>
    </row>
    <row r="256" spans="2:5" x14ac:dyDescent="0.25">
      <c r="B256" t="s">
        <v>442</v>
      </c>
      <c r="C256">
        <v>535</v>
      </c>
      <c r="D256">
        <v>2.0312899999999998</v>
      </c>
      <c r="E256">
        <v>3.8E-3</v>
      </c>
    </row>
    <row r="257" spans="2:5" x14ac:dyDescent="0.25">
      <c r="B257" t="s">
        <v>261</v>
      </c>
      <c r="C257">
        <v>241</v>
      </c>
      <c r="D257">
        <v>0.90842999999999996</v>
      </c>
      <c r="E257">
        <v>3.7699999999999999E-3</v>
      </c>
    </row>
    <row r="258" spans="2:5" x14ac:dyDescent="0.25">
      <c r="B258" t="s">
        <v>331</v>
      </c>
      <c r="C258">
        <v>539</v>
      </c>
      <c r="D258">
        <v>1.9547099999999999</v>
      </c>
      <c r="E258">
        <v>3.63E-3</v>
      </c>
    </row>
    <row r="259" spans="2:5" x14ac:dyDescent="0.25">
      <c r="B259" t="s">
        <v>189</v>
      </c>
      <c r="C259">
        <v>585</v>
      </c>
      <c r="D259">
        <v>1.8445</v>
      </c>
      <c r="E259">
        <v>3.15E-3</v>
      </c>
    </row>
    <row r="260" spans="2:5" x14ac:dyDescent="0.25">
      <c r="B260" t="s">
        <v>206</v>
      </c>
      <c r="C260">
        <v>533</v>
      </c>
      <c r="D260">
        <v>1.5073799999999999</v>
      </c>
      <c r="E260">
        <v>2.8300000000000001E-3</v>
      </c>
    </row>
    <row r="261" spans="2:5" x14ac:dyDescent="0.25">
      <c r="B261" t="s">
        <v>292</v>
      </c>
      <c r="C261">
        <v>529</v>
      </c>
      <c r="D261">
        <v>1.4288400000000001</v>
      </c>
      <c r="E261">
        <v>2.7000000000000001E-3</v>
      </c>
    </row>
    <row r="262" spans="2:5" x14ac:dyDescent="0.25">
      <c r="B262" t="s">
        <v>923</v>
      </c>
      <c r="C262">
        <v>34</v>
      </c>
      <c r="D262">
        <v>8.6999999999999994E-2</v>
      </c>
      <c r="E262">
        <v>2.5600000000000002E-3</v>
      </c>
    </row>
    <row r="263" spans="2:5" x14ac:dyDescent="0.25">
      <c r="B263" t="s">
        <v>796</v>
      </c>
      <c r="C263">
        <v>1</v>
      </c>
      <c r="D263">
        <v>2.4199999999999998E-3</v>
      </c>
      <c r="E263">
        <v>2.4199999999999998E-3</v>
      </c>
    </row>
    <row r="264" spans="2:5" x14ac:dyDescent="0.25">
      <c r="B264" t="s">
        <v>472</v>
      </c>
      <c r="C264">
        <v>242</v>
      </c>
      <c r="D264">
        <v>0.57979999999999998</v>
      </c>
      <c r="E264">
        <v>2.3999999999999998E-3</v>
      </c>
    </row>
    <row r="265" spans="2:5" x14ac:dyDescent="0.25">
      <c r="B265" t="s">
        <v>100</v>
      </c>
      <c r="C265">
        <v>361</v>
      </c>
      <c r="D265">
        <v>0.59902</v>
      </c>
      <c r="E265">
        <v>1.66E-3</v>
      </c>
    </row>
    <row r="266" spans="2:5" x14ac:dyDescent="0.25">
      <c r="B266" t="s">
        <v>667</v>
      </c>
      <c r="C266">
        <v>279</v>
      </c>
      <c r="D266">
        <v>0.41259000000000001</v>
      </c>
      <c r="E266">
        <v>1.48E-3</v>
      </c>
    </row>
    <row r="267" spans="2:5" x14ac:dyDescent="0.25">
      <c r="B267" t="s">
        <v>370</v>
      </c>
      <c r="C267">
        <v>473</v>
      </c>
      <c r="D267">
        <v>0.35071999999999998</v>
      </c>
      <c r="E267">
        <v>7.3999999999999999E-4</v>
      </c>
    </row>
    <row r="268" spans="2:5" x14ac:dyDescent="0.25">
      <c r="B268" t="s">
        <v>437</v>
      </c>
      <c r="C268">
        <v>483</v>
      </c>
      <c r="D268">
        <v>0.22669</v>
      </c>
      <c r="E268">
        <v>4.6999999999999999E-4</v>
      </c>
    </row>
    <row r="269" spans="2:5" x14ac:dyDescent="0.25">
      <c r="B269" t="s">
        <v>289</v>
      </c>
      <c r="C269">
        <v>124</v>
      </c>
      <c r="D269">
        <v>5.5530000000000003E-2</v>
      </c>
      <c r="E269">
        <v>4.4999999999999999E-4</v>
      </c>
    </row>
    <row r="270" spans="2:5" x14ac:dyDescent="0.25">
      <c r="B270" t="s">
        <v>578</v>
      </c>
      <c r="C270">
        <v>175</v>
      </c>
      <c r="D270">
        <v>7.8509999999999996E-2</v>
      </c>
      <c r="E270">
        <v>4.4999999999999999E-4</v>
      </c>
    </row>
    <row r="271" spans="2:5" x14ac:dyDescent="0.25">
      <c r="B271" t="s">
        <v>170</v>
      </c>
      <c r="C271">
        <v>344</v>
      </c>
      <c r="D271">
        <v>0.14862</v>
      </c>
      <c r="E271">
        <v>4.2999999999999999E-4</v>
      </c>
    </row>
    <row r="272" spans="2:5" x14ac:dyDescent="0.25">
      <c r="B272" t="s">
        <v>678</v>
      </c>
      <c r="C272">
        <v>150</v>
      </c>
      <c r="D272">
        <v>2.9669999999999998E-2</v>
      </c>
      <c r="E272">
        <v>2.0000000000000001E-4</v>
      </c>
    </row>
    <row r="273" spans="2:5" x14ac:dyDescent="0.25">
      <c r="B273" t="s">
        <v>21</v>
      </c>
      <c r="C273">
        <v>262</v>
      </c>
      <c r="D273">
        <v>-1.1E-4</v>
      </c>
      <c r="E273">
        <v>0</v>
      </c>
    </row>
    <row r="274" spans="2:5" x14ac:dyDescent="0.25">
      <c r="B274" t="s">
        <v>250</v>
      </c>
      <c r="C274">
        <v>561</v>
      </c>
      <c r="D274">
        <v>-1.014E-2</v>
      </c>
      <c r="E274">
        <v>-2.0000000000000002E-5</v>
      </c>
    </row>
    <row r="275" spans="2:5" x14ac:dyDescent="0.25">
      <c r="B275" t="s">
        <v>12</v>
      </c>
      <c r="C275">
        <v>232</v>
      </c>
      <c r="D275">
        <v>-2.4029999999999999E-2</v>
      </c>
      <c r="E275">
        <v>-1E-4</v>
      </c>
    </row>
    <row r="276" spans="2:5" x14ac:dyDescent="0.25">
      <c r="B276" t="s">
        <v>201</v>
      </c>
      <c r="C276">
        <v>378</v>
      </c>
      <c r="D276">
        <v>-0.29338999999999998</v>
      </c>
      <c r="E276">
        <v>-7.7999999999999999E-4</v>
      </c>
    </row>
    <row r="277" spans="2:5" x14ac:dyDescent="0.25">
      <c r="B277" t="s">
        <v>151</v>
      </c>
      <c r="C277">
        <v>674</v>
      </c>
      <c r="D277">
        <v>-0.87666999999999995</v>
      </c>
      <c r="E277">
        <v>-1.2999999999999999E-3</v>
      </c>
    </row>
    <row r="278" spans="2:5" x14ac:dyDescent="0.25">
      <c r="B278" t="s">
        <v>414</v>
      </c>
      <c r="C278">
        <v>445</v>
      </c>
      <c r="D278">
        <v>-0.6552</v>
      </c>
      <c r="E278">
        <v>-1.47E-3</v>
      </c>
    </row>
    <row r="279" spans="2:5" x14ac:dyDescent="0.25">
      <c r="B279" t="s">
        <v>544</v>
      </c>
      <c r="C279">
        <v>322</v>
      </c>
      <c r="D279">
        <v>-0.64959999999999996</v>
      </c>
      <c r="E279">
        <v>-2.0200000000000001E-3</v>
      </c>
    </row>
    <row r="280" spans="2:5" x14ac:dyDescent="0.25">
      <c r="B280" t="s">
        <v>720</v>
      </c>
      <c r="C280">
        <v>401</v>
      </c>
      <c r="D280">
        <v>-0.97662000000000004</v>
      </c>
      <c r="E280">
        <v>-2.4399999999999999E-3</v>
      </c>
    </row>
    <row r="281" spans="2:5" x14ac:dyDescent="0.25">
      <c r="B281" t="s">
        <v>717</v>
      </c>
      <c r="C281">
        <v>83</v>
      </c>
      <c r="D281">
        <v>-0.21385999999999999</v>
      </c>
      <c r="E281">
        <v>-2.5799999999999998E-3</v>
      </c>
    </row>
    <row r="282" spans="2:5" x14ac:dyDescent="0.25">
      <c r="B282" t="s">
        <v>372</v>
      </c>
      <c r="C282">
        <v>326</v>
      </c>
      <c r="D282">
        <v>-0.85387999999999997</v>
      </c>
      <c r="E282">
        <v>-2.6199999999999999E-3</v>
      </c>
    </row>
    <row r="283" spans="2:5" x14ac:dyDescent="0.25">
      <c r="B283" t="s">
        <v>198</v>
      </c>
      <c r="C283">
        <v>127</v>
      </c>
      <c r="D283">
        <v>-0.33622999999999997</v>
      </c>
      <c r="E283">
        <v>-2.65E-3</v>
      </c>
    </row>
    <row r="284" spans="2:5" x14ac:dyDescent="0.25">
      <c r="B284" t="s">
        <v>393</v>
      </c>
      <c r="C284">
        <v>348</v>
      </c>
      <c r="D284">
        <v>-0.93561000000000005</v>
      </c>
      <c r="E284">
        <v>-2.6900000000000001E-3</v>
      </c>
    </row>
    <row r="285" spans="2:5" x14ac:dyDescent="0.25">
      <c r="B285" t="s">
        <v>615</v>
      </c>
      <c r="C285">
        <v>286</v>
      </c>
      <c r="D285">
        <v>-0.76910000000000001</v>
      </c>
      <c r="E285">
        <v>-2.6900000000000001E-3</v>
      </c>
    </row>
    <row r="286" spans="2:5" x14ac:dyDescent="0.25">
      <c r="B286" t="s">
        <v>489</v>
      </c>
      <c r="C286">
        <v>492</v>
      </c>
      <c r="D286">
        <v>-1.46594</v>
      </c>
      <c r="E286">
        <v>-2.98E-3</v>
      </c>
    </row>
    <row r="287" spans="2:5" x14ac:dyDescent="0.25">
      <c r="B287" t="s">
        <v>105</v>
      </c>
      <c r="C287">
        <v>251</v>
      </c>
      <c r="D287">
        <v>-0.76719000000000004</v>
      </c>
      <c r="E287">
        <v>-3.0599999999999998E-3</v>
      </c>
    </row>
    <row r="288" spans="2:5" x14ac:dyDescent="0.25">
      <c r="B288" t="s">
        <v>102</v>
      </c>
      <c r="C288">
        <v>588</v>
      </c>
      <c r="D288">
        <v>-1.8356600000000001</v>
      </c>
      <c r="E288">
        <v>-3.1199999999999999E-3</v>
      </c>
    </row>
    <row r="289" spans="2:5" x14ac:dyDescent="0.25">
      <c r="B289" t="s">
        <v>460</v>
      </c>
      <c r="C289">
        <v>639</v>
      </c>
      <c r="D289">
        <v>-2.0606599999999999</v>
      </c>
      <c r="E289">
        <v>-3.2200000000000002E-3</v>
      </c>
    </row>
    <row r="290" spans="2:5" x14ac:dyDescent="0.25">
      <c r="B290" t="s">
        <v>179</v>
      </c>
      <c r="C290">
        <v>616</v>
      </c>
      <c r="D290">
        <v>-2.17469</v>
      </c>
      <c r="E290">
        <v>-3.5300000000000002E-3</v>
      </c>
    </row>
    <row r="291" spans="2:5" x14ac:dyDescent="0.25">
      <c r="B291" t="s">
        <v>113</v>
      </c>
      <c r="C291">
        <v>378</v>
      </c>
      <c r="D291">
        <v>-1.4827399999999999</v>
      </c>
      <c r="E291">
        <v>-3.9199999999999999E-3</v>
      </c>
    </row>
    <row r="292" spans="2:5" x14ac:dyDescent="0.25">
      <c r="B292" t="s">
        <v>535</v>
      </c>
      <c r="C292">
        <v>507</v>
      </c>
      <c r="D292">
        <v>-2.1227</v>
      </c>
      <c r="E292">
        <v>-4.1900000000000001E-3</v>
      </c>
    </row>
    <row r="293" spans="2:5" x14ac:dyDescent="0.25">
      <c r="B293" t="s">
        <v>139</v>
      </c>
      <c r="C293">
        <v>720</v>
      </c>
      <c r="D293">
        <v>-3.28159</v>
      </c>
      <c r="E293">
        <v>-4.5599999999999998E-3</v>
      </c>
    </row>
    <row r="294" spans="2:5" x14ac:dyDescent="0.25">
      <c r="B294" t="s">
        <v>588</v>
      </c>
      <c r="C294">
        <v>173</v>
      </c>
      <c r="D294">
        <v>-0.87251000000000001</v>
      </c>
      <c r="E294">
        <v>-5.0400000000000002E-3</v>
      </c>
    </row>
    <row r="295" spans="2:5" x14ac:dyDescent="0.25">
      <c r="B295" t="s">
        <v>75</v>
      </c>
      <c r="C295">
        <v>373</v>
      </c>
      <c r="D295">
        <v>-1.8940300000000001</v>
      </c>
      <c r="E295">
        <v>-5.0800000000000003E-3</v>
      </c>
    </row>
    <row r="296" spans="2:5" x14ac:dyDescent="0.25">
      <c r="B296" t="s">
        <v>1</v>
      </c>
      <c r="C296">
        <v>181818</v>
      </c>
      <c r="D296">
        <v>-974.05516999999998</v>
      </c>
      <c r="E296">
        <v>-5.3600000000000002E-3</v>
      </c>
    </row>
    <row r="297" spans="2:5" x14ac:dyDescent="0.25">
      <c r="B297" t="s">
        <v>267</v>
      </c>
      <c r="C297">
        <v>375</v>
      </c>
      <c r="D297">
        <v>-2.1370300000000002</v>
      </c>
      <c r="E297">
        <v>-5.7000000000000002E-3</v>
      </c>
    </row>
    <row r="298" spans="2:5" x14ac:dyDescent="0.25">
      <c r="B298" t="s">
        <v>691</v>
      </c>
      <c r="C298">
        <v>250</v>
      </c>
      <c r="D298">
        <v>-1.4372499999999999</v>
      </c>
      <c r="E298">
        <v>-5.7499999999999999E-3</v>
      </c>
    </row>
    <row r="299" spans="2:5" x14ac:dyDescent="0.25">
      <c r="B299" t="s">
        <v>695</v>
      </c>
      <c r="C299">
        <v>147</v>
      </c>
      <c r="D299">
        <v>-0.90383999999999998</v>
      </c>
      <c r="E299">
        <v>-6.1500000000000001E-3</v>
      </c>
    </row>
    <row r="300" spans="2:5" x14ac:dyDescent="0.25">
      <c r="B300" t="s">
        <v>660</v>
      </c>
      <c r="C300">
        <v>231</v>
      </c>
      <c r="D300">
        <v>-1.4323699999999999</v>
      </c>
      <c r="E300">
        <v>-6.1999999999999998E-3</v>
      </c>
    </row>
    <row r="301" spans="2:5" x14ac:dyDescent="0.25">
      <c r="B301" t="s">
        <v>223</v>
      </c>
      <c r="C301">
        <v>558</v>
      </c>
      <c r="D301">
        <v>-3.48563</v>
      </c>
      <c r="E301">
        <v>-6.2500000000000003E-3</v>
      </c>
    </row>
    <row r="302" spans="2:5" x14ac:dyDescent="0.25">
      <c r="B302" t="s">
        <v>281</v>
      </c>
      <c r="C302">
        <v>550</v>
      </c>
      <c r="D302">
        <v>-3.56934</v>
      </c>
      <c r="E302">
        <v>-6.4900000000000001E-3</v>
      </c>
    </row>
    <row r="303" spans="2:5" x14ac:dyDescent="0.25">
      <c r="B303" t="s">
        <v>149</v>
      </c>
      <c r="C303">
        <v>255</v>
      </c>
      <c r="D303">
        <v>-1.7708900000000001</v>
      </c>
      <c r="E303">
        <v>-6.94E-3</v>
      </c>
    </row>
    <row r="304" spans="2:5" x14ac:dyDescent="0.25">
      <c r="B304" t="s">
        <v>593</v>
      </c>
      <c r="C304">
        <v>479</v>
      </c>
      <c r="D304">
        <v>-3.4061400000000002</v>
      </c>
      <c r="E304">
        <v>-7.11E-3</v>
      </c>
    </row>
    <row r="305" spans="2:5" x14ac:dyDescent="0.25">
      <c r="B305" t="s">
        <v>622</v>
      </c>
      <c r="C305">
        <v>120</v>
      </c>
      <c r="D305">
        <v>-0.87343999999999999</v>
      </c>
      <c r="E305">
        <v>-7.28E-3</v>
      </c>
    </row>
    <row r="306" spans="2:5" x14ac:dyDescent="0.25">
      <c r="B306" t="s">
        <v>867</v>
      </c>
      <c r="C306">
        <v>7</v>
      </c>
      <c r="D306">
        <v>-5.1299999999999998E-2</v>
      </c>
      <c r="E306">
        <v>-7.3299999999999997E-3</v>
      </c>
    </row>
    <row r="307" spans="2:5" x14ac:dyDescent="0.25">
      <c r="B307" t="s">
        <v>708</v>
      </c>
      <c r="C307">
        <v>238</v>
      </c>
      <c r="D307">
        <v>-1.7773000000000001</v>
      </c>
      <c r="E307">
        <v>-7.4700000000000001E-3</v>
      </c>
    </row>
    <row r="308" spans="2:5" x14ac:dyDescent="0.25">
      <c r="B308" t="s">
        <v>448</v>
      </c>
      <c r="C308">
        <v>112</v>
      </c>
      <c r="D308">
        <v>-0.85573999999999995</v>
      </c>
      <c r="E308">
        <v>-7.6400000000000001E-3</v>
      </c>
    </row>
    <row r="309" spans="2:5" x14ac:dyDescent="0.25">
      <c r="B309" t="s">
        <v>18</v>
      </c>
      <c r="C309">
        <v>319</v>
      </c>
      <c r="D309">
        <v>-2.5467</v>
      </c>
      <c r="E309">
        <v>-7.9799999999999992E-3</v>
      </c>
    </row>
    <row r="310" spans="2:5" x14ac:dyDescent="0.25">
      <c r="B310" t="s">
        <v>168</v>
      </c>
      <c r="C310">
        <v>436</v>
      </c>
      <c r="D310">
        <v>-3.5796700000000001</v>
      </c>
      <c r="E310">
        <v>-8.2100000000000003E-3</v>
      </c>
    </row>
    <row r="311" spans="2:5" x14ac:dyDescent="0.25">
      <c r="B311" t="s">
        <v>366</v>
      </c>
      <c r="C311">
        <v>691</v>
      </c>
      <c r="D311">
        <v>-5.6924099999999997</v>
      </c>
      <c r="E311">
        <v>-8.2400000000000008E-3</v>
      </c>
    </row>
    <row r="312" spans="2:5" x14ac:dyDescent="0.25">
      <c r="B312" t="s">
        <v>234</v>
      </c>
      <c r="C312">
        <v>97</v>
      </c>
      <c r="D312">
        <v>-0.81006</v>
      </c>
      <c r="E312">
        <v>-8.3499999999999998E-3</v>
      </c>
    </row>
    <row r="313" spans="2:5" x14ac:dyDescent="0.25">
      <c r="B313" t="s">
        <v>253</v>
      </c>
      <c r="C313">
        <v>679</v>
      </c>
      <c r="D313">
        <v>-5.7009100000000004</v>
      </c>
      <c r="E313">
        <v>-8.3999999999999995E-3</v>
      </c>
    </row>
    <row r="314" spans="2:5" x14ac:dyDescent="0.25">
      <c r="B314" t="s">
        <v>45</v>
      </c>
      <c r="C314">
        <v>490</v>
      </c>
      <c r="D314">
        <v>-4.2573800000000004</v>
      </c>
      <c r="E314">
        <v>-8.6899999999999998E-3</v>
      </c>
    </row>
    <row r="315" spans="2:5" x14ac:dyDescent="0.25">
      <c r="B315" t="s">
        <v>222</v>
      </c>
      <c r="C315">
        <v>375</v>
      </c>
      <c r="D315">
        <v>-3.2932800000000002</v>
      </c>
      <c r="E315">
        <v>-8.7799999999999996E-3</v>
      </c>
    </row>
    <row r="316" spans="2:5" x14ac:dyDescent="0.25">
      <c r="B316" t="s">
        <v>602</v>
      </c>
      <c r="C316">
        <v>89</v>
      </c>
      <c r="D316">
        <v>-0.80084</v>
      </c>
      <c r="E316">
        <v>-8.9999999999999993E-3</v>
      </c>
    </row>
    <row r="317" spans="2:5" x14ac:dyDescent="0.25">
      <c r="B317" t="s">
        <v>575</v>
      </c>
      <c r="C317">
        <v>131</v>
      </c>
      <c r="D317">
        <v>-1.1881999999999999</v>
      </c>
      <c r="E317">
        <v>-9.0699999999999999E-3</v>
      </c>
    </row>
    <row r="318" spans="2:5" x14ac:dyDescent="0.25">
      <c r="B318" t="s">
        <v>249</v>
      </c>
      <c r="C318">
        <v>198</v>
      </c>
      <c r="D318">
        <v>-1.8417399999999999</v>
      </c>
      <c r="E318">
        <v>-9.2999999999999992E-3</v>
      </c>
    </row>
    <row r="319" spans="2:5" x14ac:dyDescent="0.25">
      <c r="B319" t="s">
        <v>290</v>
      </c>
      <c r="C319">
        <v>545</v>
      </c>
      <c r="D319">
        <v>-5.2938000000000001</v>
      </c>
      <c r="E319">
        <v>-9.7099999999999999E-3</v>
      </c>
    </row>
    <row r="320" spans="2:5" x14ac:dyDescent="0.25">
      <c r="B320" t="s">
        <v>534</v>
      </c>
      <c r="C320">
        <v>86</v>
      </c>
      <c r="D320">
        <v>-0.83826000000000001</v>
      </c>
      <c r="E320">
        <v>-9.75E-3</v>
      </c>
    </row>
    <row r="321" spans="2:5" x14ac:dyDescent="0.25">
      <c r="B321" t="s">
        <v>349</v>
      </c>
      <c r="C321">
        <v>289</v>
      </c>
      <c r="D321">
        <v>-2.9631699999999999</v>
      </c>
      <c r="E321">
        <v>-1.025E-2</v>
      </c>
    </row>
    <row r="322" spans="2:5" x14ac:dyDescent="0.25">
      <c r="B322" t="s">
        <v>13</v>
      </c>
      <c r="C322">
        <v>249</v>
      </c>
      <c r="D322">
        <v>-2.5659999999999998</v>
      </c>
      <c r="E322">
        <v>-1.031E-2</v>
      </c>
    </row>
    <row r="323" spans="2:5" x14ac:dyDescent="0.25">
      <c r="B323" t="s">
        <v>486</v>
      </c>
      <c r="C323">
        <v>344</v>
      </c>
      <c r="D323">
        <v>-3.5459399999999999</v>
      </c>
      <c r="E323">
        <v>-1.031E-2</v>
      </c>
    </row>
    <row r="324" spans="2:5" x14ac:dyDescent="0.25">
      <c r="B324" t="s">
        <v>509</v>
      </c>
      <c r="C324">
        <v>67</v>
      </c>
      <c r="D324">
        <v>-0.69299999999999995</v>
      </c>
      <c r="E324">
        <v>-1.034E-2</v>
      </c>
    </row>
    <row r="325" spans="2:5" x14ac:dyDescent="0.25">
      <c r="B325" t="s">
        <v>153</v>
      </c>
      <c r="C325">
        <v>526</v>
      </c>
      <c r="D325">
        <v>-5.4899699999999996</v>
      </c>
      <c r="E325">
        <v>-1.044E-2</v>
      </c>
    </row>
    <row r="326" spans="2:5" x14ac:dyDescent="0.25">
      <c r="B326" t="s">
        <v>126</v>
      </c>
      <c r="C326">
        <v>687</v>
      </c>
      <c r="D326">
        <v>-7.22593</v>
      </c>
      <c r="E326">
        <v>-1.052E-2</v>
      </c>
    </row>
    <row r="327" spans="2:5" x14ac:dyDescent="0.25">
      <c r="B327" t="s">
        <v>287</v>
      </c>
      <c r="C327">
        <v>310</v>
      </c>
      <c r="D327">
        <v>-3.28681</v>
      </c>
      <c r="E327">
        <v>-1.06E-2</v>
      </c>
    </row>
    <row r="328" spans="2:5" x14ac:dyDescent="0.25">
      <c r="B328" t="s">
        <v>49</v>
      </c>
      <c r="C328">
        <v>677</v>
      </c>
      <c r="D328">
        <v>-7.4918199999999997</v>
      </c>
      <c r="E328">
        <v>-1.107E-2</v>
      </c>
    </row>
    <row r="329" spans="2:5" x14ac:dyDescent="0.25">
      <c r="B329" t="s">
        <v>121</v>
      </c>
      <c r="C329">
        <v>307</v>
      </c>
      <c r="D329">
        <v>-3.40463</v>
      </c>
      <c r="E329">
        <v>-1.1089999999999999E-2</v>
      </c>
    </row>
    <row r="330" spans="2:5" x14ac:dyDescent="0.25">
      <c r="B330" t="s">
        <v>758</v>
      </c>
      <c r="C330">
        <v>20</v>
      </c>
      <c r="D330">
        <v>-0.22633</v>
      </c>
      <c r="E330">
        <v>-1.132E-2</v>
      </c>
    </row>
    <row r="331" spans="2:5" x14ac:dyDescent="0.25">
      <c r="B331" t="s">
        <v>274</v>
      </c>
      <c r="C331">
        <v>445</v>
      </c>
      <c r="D331">
        <v>-5.0423900000000001</v>
      </c>
      <c r="E331">
        <v>-1.133E-2</v>
      </c>
    </row>
    <row r="332" spans="2:5" x14ac:dyDescent="0.25">
      <c r="B332" t="s">
        <v>68</v>
      </c>
      <c r="C332">
        <v>464</v>
      </c>
      <c r="D332">
        <v>-5.28606</v>
      </c>
      <c r="E332">
        <v>-1.1390000000000001E-2</v>
      </c>
    </row>
    <row r="333" spans="2:5" x14ac:dyDescent="0.25">
      <c r="B333" t="s">
        <v>651</v>
      </c>
      <c r="C333">
        <v>516</v>
      </c>
      <c r="D333">
        <v>-6.00021</v>
      </c>
      <c r="E333">
        <v>-1.163E-2</v>
      </c>
    </row>
    <row r="334" spans="2:5" x14ac:dyDescent="0.25">
      <c r="B334" t="s">
        <v>73</v>
      </c>
      <c r="C334">
        <v>501</v>
      </c>
      <c r="D334">
        <v>-5.8561199999999998</v>
      </c>
      <c r="E334">
        <v>-1.1690000000000001E-2</v>
      </c>
    </row>
    <row r="335" spans="2:5" x14ac:dyDescent="0.25">
      <c r="B335" t="s">
        <v>658</v>
      </c>
      <c r="C335">
        <v>24</v>
      </c>
      <c r="D335">
        <v>-0.28525</v>
      </c>
      <c r="E335">
        <v>-1.189E-2</v>
      </c>
    </row>
    <row r="336" spans="2:5" x14ac:dyDescent="0.25">
      <c r="B336" t="s">
        <v>259</v>
      </c>
      <c r="C336">
        <v>461</v>
      </c>
      <c r="D336">
        <v>-5.5385900000000001</v>
      </c>
      <c r="E336">
        <v>-1.201E-2</v>
      </c>
    </row>
    <row r="337" spans="2:5" x14ac:dyDescent="0.25">
      <c r="B337" t="s">
        <v>115</v>
      </c>
      <c r="C337">
        <v>233</v>
      </c>
      <c r="D337">
        <v>-2.8073199999999998</v>
      </c>
      <c r="E337">
        <v>-1.205E-2</v>
      </c>
    </row>
    <row r="338" spans="2:5" x14ac:dyDescent="0.25">
      <c r="B338" t="s">
        <v>680</v>
      </c>
      <c r="C338">
        <v>220</v>
      </c>
      <c r="D338">
        <v>-2.6653199999999999</v>
      </c>
      <c r="E338">
        <v>-1.2120000000000001E-2</v>
      </c>
    </row>
    <row r="339" spans="2:5" x14ac:dyDescent="0.25">
      <c r="B339" t="s">
        <v>138</v>
      </c>
      <c r="C339">
        <v>290</v>
      </c>
      <c r="D339">
        <v>-3.5333299999999999</v>
      </c>
      <c r="E339">
        <v>-1.218E-2</v>
      </c>
    </row>
    <row r="340" spans="2:5" x14ac:dyDescent="0.25">
      <c r="B340" t="s">
        <v>258</v>
      </c>
      <c r="C340">
        <v>440</v>
      </c>
      <c r="D340">
        <v>-5.7955100000000002</v>
      </c>
      <c r="E340">
        <v>-1.3169999999999999E-2</v>
      </c>
    </row>
    <row r="341" spans="2:5" x14ac:dyDescent="0.25">
      <c r="B341" t="s">
        <v>555</v>
      </c>
      <c r="C341">
        <v>205</v>
      </c>
      <c r="D341">
        <v>-2.7431299999999998</v>
      </c>
      <c r="E341">
        <v>-1.338E-2</v>
      </c>
    </row>
    <row r="342" spans="2:5" x14ac:dyDescent="0.25">
      <c r="B342" t="s">
        <v>56</v>
      </c>
      <c r="C342">
        <v>622</v>
      </c>
      <c r="D342">
        <v>-8.3453499999999998</v>
      </c>
      <c r="E342">
        <v>-1.342E-2</v>
      </c>
    </row>
    <row r="343" spans="2:5" x14ac:dyDescent="0.25">
      <c r="B343" t="s">
        <v>43</v>
      </c>
      <c r="C343">
        <v>532</v>
      </c>
      <c r="D343">
        <v>-7.3036899999999996</v>
      </c>
      <c r="E343">
        <v>-1.3729999999999999E-2</v>
      </c>
    </row>
    <row r="344" spans="2:5" x14ac:dyDescent="0.25">
      <c r="B344" t="s">
        <v>671</v>
      </c>
      <c r="C344">
        <v>271</v>
      </c>
      <c r="D344">
        <v>-3.7319</v>
      </c>
      <c r="E344">
        <v>-1.3769999999999999E-2</v>
      </c>
    </row>
    <row r="345" spans="2:5" x14ac:dyDescent="0.25">
      <c r="B345" t="s">
        <v>233</v>
      </c>
      <c r="C345">
        <v>365</v>
      </c>
      <c r="D345">
        <v>-5.0779899999999998</v>
      </c>
      <c r="E345">
        <v>-1.391E-2</v>
      </c>
    </row>
    <row r="346" spans="2:5" x14ac:dyDescent="0.25">
      <c r="B346" t="s">
        <v>454</v>
      </c>
      <c r="C346">
        <v>400</v>
      </c>
      <c r="D346">
        <v>-5.72879</v>
      </c>
      <c r="E346">
        <v>-1.4319999999999999E-2</v>
      </c>
    </row>
    <row r="347" spans="2:5" x14ac:dyDescent="0.25">
      <c r="B347" t="s">
        <v>633</v>
      </c>
      <c r="C347">
        <v>219</v>
      </c>
      <c r="D347">
        <v>-3.1442299999999999</v>
      </c>
      <c r="E347">
        <v>-1.436E-2</v>
      </c>
    </row>
    <row r="348" spans="2:5" x14ac:dyDescent="0.25">
      <c r="B348" t="s">
        <v>187</v>
      </c>
      <c r="C348">
        <v>318</v>
      </c>
      <c r="D348">
        <v>-4.57606</v>
      </c>
      <c r="E348">
        <v>-1.439E-2</v>
      </c>
    </row>
    <row r="349" spans="2:5" x14ac:dyDescent="0.25">
      <c r="B349" t="s">
        <v>666</v>
      </c>
      <c r="C349">
        <v>348</v>
      </c>
      <c r="D349">
        <v>-5.0211300000000003</v>
      </c>
      <c r="E349">
        <v>-1.443E-2</v>
      </c>
    </row>
    <row r="350" spans="2:5" x14ac:dyDescent="0.25">
      <c r="B350" t="s">
        <v>451</v>
      </c>
      <c r="C350">
        <v>396</v>
      </c>
      <c r="D350">
        <v>-5.8058300000000003</v>
      </c>
      <c r="E350">
        <v>-1.4659999999999999E-2</v>
      </c>
    </row>
    <row r="351" spans="2:5" x14ac:dyDescent="0.25">
      <c r="B351" t="s">
        <v>173</v>
      </c>
      <c r="C351">
        <v>312</v>
      </c>
      <c r="D351">
        <v>-4.6340899999999996</v>
      </c>
      <c r="E351">
        <v>-1.485E-2</v>
      </c>
    </row>
    <row r="352" spans="2:5" x14ac:dyDescent="0.25">
      <c r="B352" t="s">
        <v>232</v>
      </c>
      <c r="C352">
        <v>246</v>
      </c>
      <c r="D352">
        <v>-3.6552199999999999</v>
      </c>
      <c r="E352">
        <v>-1.486E-2</v>
      </c>
    </row>
    <row r="353" spans="2:5" x14ac:dyDescent="0.25">
      <c r="B353" t="s">
        <v>506</v>
      </c>
      <c r="C353">
        <v>185</v>
      </c>
      <c r="D353">
        <v>-2.8050600000000001</v>
      </c>
      <c r="E353">
        <v>-1.516E-2</v>
      </c>
    </row>
    <row r="354" spans="2:5" x14ac:dyDescent="0.25">
      <c r="B354" t="s">
        <v>140</v>
      </c>
      <c r="C354">
        <v>659</v>
      </c>
      <c r="D354">
        <v>-10.068709999999999</v>
      </c>
      <c r="E354">
        <v>-1.528E-2</v>
      </c>
    </row>
    <row r="355" spans="2:5" x14ac:dyDescent="0.25">
      <c r="B355" t="s">
        <v>361</v>
      </c>
      <c r="C355">
        <v>231</v>
      </c>
      <c r="D355">
        <v>-3.5676399999999999</v>
      </c>
      <c r="E355">
        <v>-1.5440000000000001E-2</v>
      </c>
    </row>
    <row r="356" spans="2:5" x14ac:dyDescent="0.25">
      <c r="B356" t="s">
        <v>303</v>
      </c>
      <c r="C356">
        <v>104</v>
      </c>
      <c r="D356">
        <v>-1.6110800000000001</v>
      </c>
      <c r="E356">
        <v>-1.549E-2</v>
      </c>
    </row>
    <row r="357" spans="2:5" x14ac:dyDescent="0.25">
      <c r="B357" t="s">
        <v>557</v>
      </c>
      <c r="C357">
        <v>325</v>
      </c>
      <c r="D357">
        <v>-5.1234700000000002</v>
      </c>
      <c r="E357">
        <v>-1.576E-2</v>
      </c>
    </row>
    <row r="358" spans="2:5" x14ac:dyDescent="0.25">
      <c r="B358" t="s">
        <v>154</v>
      </c>
      <c r="C358">
        <v>339</v>
      </c>
      <c r="D358">
        <v>-5.3785800000000004</v>
      </c>
      <c r="E358">
        <v>-1.5869999999999999E-2</v>
      </c>
    </row>
    <row r="359" spans="2:5" x14ac:dyDescent="0.25">
      <c r="B359" t="s">
        <v>155</v>
      </c>
      <c r="C359">
        <v>381</v>
      </c>
      <c r="D359">
        <v>-6.1047799999999999</v>
      </c>
      <c r="E359">
        <v>-1.602E-2</v>
      </c>
    </row>
    <row r="360" spans="2:5" x14ac:dyDescent="0.25">
      <c r="B360" t="s">
        <v>525</v>
      </c>
      <c r="C360">
        <v>208</v>
      </c>
      <c r="D360">
        <v>-3.3389000000000002</v>
      </c>
      <c r="E360">
        <v>-1.6049999999999998E-2</v>
      </c>
    </row>
    <row r="361" spans="2:5" x14ac:dyDescent="0.25">
      <c r="B361" t="s">
        <v>614</v>
      </c>
      <c r="C361">
        <v>87</v>
      </c>
      <c r="D361">
        <v>-1.4361200000000001</v>
      </c>
      <c r="E361">
        <v>-1.651E-2</v>
      </c>
    </row>
    <row r="362" spans="2:5" x14ac:dyDescent="0.25">
      <c r="B362" t="s">
        <v>160</v>
      </c>
      <c r="C362">
        <v>181</v>
      </c>
      <c r="D362">
        <v>-3.0492599999999999</v>
      </c>
      <c r="E362">
        <v>-1.685E-2</v>
      </c>
    </row>
    <row r="363" spans="2:5" x14ac:dyDescent="0.25">
      <c r="B363" t="s">
        <v>315</v>
      </c>
      <c r="C363">
        <v>331</v>
      </c>
      <c r="D363">
        <v>-5.5772899999999996</v>
      </c>
      <c r="E363">
        <v>-1.685E-2</v>
      </c>
    </row>
    <row r="364" spans="2:5" x14ac:dyDescent="0.25">
      <c r="B364" t="s">
        <v>342</v>
      </c>
      <c r="C364">
        <v>346</v>
      </c>
      <c r="D364">
        <v>-5.8420899999999998</v>
      </c>
      <c r="E364">
        <v>-1.6879999999999999E-2</v>
      </c>
    </row>
    <row r="365" spans="2:5" x14ac:dyDescent="0.25">
      <c r="B365" t="s">
        <v>606</v>
      </c>
      <c r="C365">
        <v>176</v>
      </c>
      <c r="D365">
        <v>-2.9721799999999998</v>
      </c>
      <c r="E365">
        <v>-1.6889999999999999E-2</v>
      </c>
    </row>
    <row r="366" spans="2:5" x14ac:dyDescent="0.25">
      <c r="B366" t="s">
        <v>231</v>
      </c>
      <c r="C366">
        <v>545</v>
      </c>
      <c r="D366">
        <v>-9.3511299999999995</v>
      </c>
      <c r="E366">
        <v>-1.7160000000000002E-2</v>
      </c>
    </row>
    <row r="367" spans="2:5" x14ac:dyDescent="0.25">
      <c r="B367" t="s">
        <v>772</v>
      </c>
      <c r="C367">
        <v>2</v>
      </c>
      <c r="D367">
        <v>-3.4459999999999998E-2</v>
      </c>
      <c r="E367">
        <v>-1.7229999999999999E-2</v>
      </c>
    </row>
    <row r="368" spans="2:5" x14ac:dyDescent="0.25">
      <c r="B368" t="s">
        <v>95</v>
      </c>
      <c r="C368">
        <v>637</v>
      </c>
      <c r="D368">
        <v>-11.018039999999999</v>
      </c>
      <c r="E368">
        <v>-1.7299999999999999E-2</v>
      </c>
    </row>
    <row r="369" spans="2:5" x14ac:dyDescent="0.25">
      <c r="B369" t="s">
        <v>553</v>
      </c>
      <c r="C369">
        <v>294</v>
      </c>
      <c r="D369">
        <v>-5.1687599999999998</v>
      </c>
      <c r="E369">
        <v>-1.7579999999999998E-2</v>
      </c>
    </row>
    <row r="370" spans="2:5" x14ac:dyDescent="0.25">
      <c r="B370" t="s">
        <v>469</v>
      </c>
      <c r="C370">
        <v>30</v>
      </c>
      <c r="D370">
        <v>-0.52847999999999995</v>
      </c>
      <c r="E370">
        <v>-1.762E-2</v>
      </c>
    </row>
    <row r="371" spans="2:5" x14ac:dyDescent="0.25">
      <c r="B371" t="s">
        <v>679</v>
      </c>
      <c r="C371">
        <v>82</v>
      </c>
      <c r="D371">
        <v>-1.45305</v>
      </c>
      <c r="E371">
        <v>-1.772E-2</v>
      </c>
    </row>
    <row r="372" spans="2:5" x14ac:dyDescent="0.25">
      <c r="B372" t="s">
        <v>390</v>
      </c>
      <c r="C372">
        <v>154</v>
      </c>
      <c r="D372">
        <v>-2.7543299999999999</v>
      </c>
      <c r="E372">
        <v>-1.789E-2</v>
      </c>
    </row>
    <row r="373" spans="2:5" x14ac:dyDescent="0.25">
      <c r="B373" t="s">
        <v>594</v>
      </c>
      <c r="C373">
        <v>156</v>
      </c>
      <c r="D373">
        <v>-2.8127800000000001</v>
      </c>
      <c r="E373">
        <v>-1.8030000000000001E-2</v>
      </c>
    </row>
    <row r="374" spans="2:5" x14ac:dyDescent="0.25">
      <c r="B374" t="s">
        <v>265</v>
      </c>
      <c r="C374">
        <v>77</v>
      </c>
      <c r="D374">
        <v>-1.3973599999999999</v>
      </c>
      <c r="E374">
        <v>-1.8149999999999999E-2</v>
      </c>
    </row>
    <row r="375" spans="2:5" x14ac:dyDescent="0.25">
      <c r="B375" t="s">
        <v>744</v>
      </c>
      <c r="C375">
        <v>3</v>
      </c>
      <c r="D375">
        <v>-5.4710000000000002E-2</v>
      </c>
      <c r="E375">
        <v>-1.8239999999999999E-2</v>
      </c>
    </row>
    <row r="376" spans="2:5" x14ac:dyDescent="0.25">
      <c r="B376" t="s">
        <v>284</v>
      </c>
      <c r="C376">
        <v>388</v>
      </c>
      <c r="D376">
        <v>-7.0989199999999997</v>
      </c>
      <c r="E376">
        <v>-1.83E-2</v>
      </c>
    </row>
    <row r="377" spans="2:5" x14ac:dyDescent="0.25">
      <c r="B377" t="s">
        <v>112</v>
      </c>
      <c r="C377">
        <v>622</v>
      </c>
      <c r="D377">
        <v>-11.419650000000001</v>
      </c>
      <c r="E377">
        <v>-1.8360000000000001E-2</v>
      </c>
    </row>
    <row r="378" spans="2:5" x14ac:dyDescent="0.25">
      <c r="B378" t="s">
        <v>220</v>
      </c>
      <c r="C378">
        <v>252</v>
      </c>
      <c r="D378">
        <v>-4.7139899999999999</v>
      </c>
      <c r="E378">
        <v>-1.8710000000000001E-2</v>
      </c>
    </row>
    <row r="379" spans="2:5" x14ac:dyDescent="0.25">
      <c r="B379" t="s">
        <v>34</v>
      </c>
      <c r="C379">
        <v>638</v>
      </c>
      <c r="D379">
        <v>-11.947990000000001</v>
      </c>
      <c r="E379">
        <v>-1.873E-2</v>
      </c>
    </row>
    <row r="380" spans="2:5" x14ac:dyDescent="0.25">
      <c r="B380" t="s">
        <v>663</v>
      </c>
      <c r="C380">
        <v>293</v>
      </c>
      <c r="D380">
        <v>-5.5146699999999997</v>
      </c>
      <c r="E380">
        <v>-1.882E-2</v>
      </c>
    </row>
    <row r="381" spans="2:5" x14ac:dyDescent="0.25">
      <c r="B381" t="s">
        <v>662</v>
      </c>
      <c r="C381">
        <v>216</v>
      </c>
      <c r="D381">
        <v>-4.1335199999999999</v>
      </c>
      <c r="E381">
        <v>-1.9140000000000001E-2</v>
      </c>
    </row>
    <row r="382" spans="2:5" x14ac:dyDescent="0.25">
      <c r="B382" t="s">
        <v>10</v>
      </c>
      <c r="C382">
        <v>474</v>
      </c>
      <c r="D382">
        <v>-9.4800199999999997</v>
      </c>
      <c r="E382">
        <v>-0.02</v>
      </c>
    </row>
    <row r="383" spans="2:5" x14ac:dyDescent="0.25">
      <c r="B383" t="s">
        <v>163</v>
      </c>
      <c r="C383">
        <v>306</v>
      </c>
      <c r="D383">
        <v>-6.12995</v>
      </c>
      <c r="E383">
        <v>-2.0029999999999999E-2</v>
      </c>
    </row>
    <row r="384" spans="2:5" x14ac:dyDescent="0.25">
      <c r="B384" t="s">
        <v>384</v>
      </c>
      <c r="C384">
        <v>505</v>
      </c>
      <c r="D384">
        <v>-10.258369999999999</v>
      </c>
      <c r="E384">
        <v>-2.0310000000000002E-2</v>
      </c>
    </row>
    <row r="385" spans="2:5" x14ac:dyDescent="0.25">
      <c r="B385" t="s">
        <v>402</v>
      </c>
      <c r="C385">
        <v>4</v>
      </c>
      <c r="D385">
        <v>-8.3949999999999997E-2</v>
      </c>
      <c r="E385">
        <v>-2.0990000000000002E-2</v>
      </c>
    </row>
    <row r="386" spans="2:5" x14ac:dyDescent="0.25">
      <c r="B386" t="s">
        <v>23</v>
      </c>
      <c r="C386">
        <v>184</v>
      </c>
      <c r="D386">
        <v>-4.0080999999999998</v>
      </c>
      <c r="E386">
        <v>-2.1780000000000001E-2</v>
      </c>
    </row>
    <row r="387" spans="2:5" x14ac:dyDescent="0.25">
      <c r="B387" t="s">
        <v>815</v>
      </c>
      <c r="C387">
        <v>5</v>
      </c>
      <c r="D387">
        <v>-0.11045000000000001</v>
      </c>
      <c r="E387">
        <v>-2.2089999999999999E-2</v>
      </c>
    </row>
    <row r="388" spans="2:5" x14ac:dyDescent="0.25">
      <c r="B388" t="s">
        <v>262</v>
      </c>
      <c r="C388">
        <v>361</v>
      </c>
      <c r="D388">
        <v>-7.9912400000000003</v>
      </c>
      <c r="E388">
        <v>-2.214E-2</v>
      </c>
    </row>
    <row r="389" spans="2:5" x14ac:dyDescent="0.25">
      <c r="B389" t="s">
        <v>257</v>
      </c>
      <c r="C389">
        <v>442</v>
      </c>
      <c r="D389">
        <v>-9.8342600000000004</v>
      </c>
      <c r="E389">
        <v>-2.2249999999999999E-2</v>
      </c>
    </row>
    <row r="390" spans="2:5" x14ac:dyDescent="0.25">
      <c r="B390" t="s">
        <v>700</v>
      </c>
      <c r="C390">
        <v>98</v>
      </c>
      <c r="D390">
        <v>-2.2229399999999999</v>
      </c>
      <c r="E390">
        <v>-2.2679999999999999E-2</v>
      </c>
    </row>
    <row r="391" spans="2:5" x14ac:dyDescent="0.25">
      <c r="B391" t="s">
        <v>15</v>
      </c>
      <c r="C391">
        <v>296</v>
      </c>
      <c r="D391">
        <v>-6.8413000000000004</v>
      </c>
      <c r="E391">
        <v>-2.3109999999999999E-2</v>
      </c>
    </row>
    <row r="392" spans="2:5" x14ac:dyDescent="0.25">
      <c r="B392" t="s">
        <v>710</v>
      </c>
      <c r="C392">
        <v>210</v>
      </c>
      <c r="D392">
        <v>-4.8803099999999997</v>
      </c>
      <c r="E392">
        <v>-2.324E-2</v>
      </c>
    </row>
    <row r="393" spans="2:5" x14ac:dyDescent="0.25">
      <c r="B393" t="s">
        <v>638</v>
      </c>
      <c r="C393">
        <v>394</v>
      </c>
      <c r="D393">
        <v>-9.1739800000000002</v>
      </c>
      <c r="E393">
        <v>-2.3279999999999999E-2</v>
      </c>
    </row>
    <row r="394" spans="2:5" x14ac:dyDescent="0.25">
      <c r="B394" t="s">
        <v>58</v>
      </c>
      <c r="C394">
        <v>271</v>
      </c>
      <c r="D394">
        <v>-6.3139200000000004</v>
      </c>
      <c r="E394">
        <v>-2.3300000000000001E-2</v>
      </c>
    </row>
    <row r="395" spans="2:5" x14ac:dyDescent="0.25">
      <c r="B395" t="s">
        <v>53</v>
      </c>
      <c r="C395">
        <v>511</v>
      </c>
      <c r="D395">
        <v>-12.07896</v>
      </c>
      <c r="E395">
        <v>-2.3640000000000001E-2</v>
      </c>
    </row>
    <row r="396" spans="2:5" x14ac:dyDescent="0.25">
      <c r="B396" t="s">
        <v>589</v>
      </c>
      <c r="C396">
        <v>402</v>
      </c>
      <c r="D396">
        <v>-9.5052500000000002</v>
      </c>
      <c r="E396">
        <v>-2.3640000000000001E-2</v>
      </c>
    </row>
    <row r="397" spans="2:5" x14ac:dyDescent="0.25">
      <c r="B397" t="s">
        <v>214</v>
      </c>
      <c r="C397">
        <v>263</v>
      </c>
      <c r="D397">
        <v>-6.2473999999999998</v>
      </c>
      <c r="E397">
        <v>-2.375E-2</v>
      </c>
    </row>
    <row r="398" spans="2:5" x14ac:dyDescent="0.25">
      <c r="B398" t="s">
        <v>383</v>
      </c>
      <c r="C398">
        <v>29</v>
      </c>
      <c r="D398">
        <v>-0.69745000000000001</v>
      </c>
      <c r="E398">
        <v>-2.4049999999999998E-2</v>
      </c>
    </row>
    <row r="399" spans="2:5" x14ac:dyDescent="0.25">
      <c r="B399" t="s">
        <v>655</v>
      </c>
      <c r="C399">
        <v>145</v>
      </c>
      <c r="D399">
        <v>-3.5636000000000001</v>
      </c>
      <c r="E399">
        <v>-2.4580000000000001E-2</v>
      </c>
    </row>
    <row r="400" spans="2:5" x14ac:dyDescent="0.25">
      <c r="B400" t="s">
        <v>134</v>
      </c>
      <c r="C400">
        <v>69</v>
      </c>
      <c r="D400">
        <v>-1.73838</v>
      </c>
      <c r="E400">
        <v>-2.5190000000000001E-2</v>
      </c>
    </row>
    <row r="401" spans="2:5" x14ac:dyDescent="0.25">
      <c r="B401" t="s">
        <v>395</v>
      </c>
      <c r="C401">
        <v>161</v>
      </c>
      <c r="D401">
        <v>-4.0569100000000002</v>
      </c>
      <c r="E401">
        <v>-2.52E-2</v>
      </c>
    </row>
    <row r="402" spans="2:5" x14ac:dyDescent="0.25">
      <c r="B402" t="s">
        <v>92</v>
      </c>
      <c r="C402">
        <v>225</v>
      </c>
      <c r="D402">
        <v>-5.6893599999999998</v>
      </c>
      <c r="E402">
        <v>-2.529E-2</v>
      </c>
    </row>
    <row r="403" spans="2:5" x14ac:dyDescent="0.25">
      <c r="B403" t="s">
        <v>273</v>
      </c>
      <c r="C403">
        <v>182</v>
      </c>
      <c r="D403">
        <v>-4.6284099999999997</v>
      </c>
      <c r="E403">
        <v>-2.5430000000000001E-2</v>
      </c>
    </row>
    <row r="404" spans="2:5" x14ac:dyDescent="0.25">
      <c r="B404" t="s">
        <v>528</v>
      </c>
      <c r="C404">
        <v>62</v>
      </c>
      <c r="D404">
        <v>-1.5854999999999999</v>
      </c>
      <c r="E404">
        <v>-2.5569999999999999E-2</v>
      </c>
    </row>
    <row r="405" spans="2:5" x14ac:dyDescent="0.25">
      <c r="B405" t="s">
        <v>1035</v>
      </c>
      <c r="C405">
        <v>3</v>
      </c>
      <c r="D405">
        <v>-7.6770000000000005E-2</v>
      </c>
      <c r="E405">
        <v>-2.5590000000000002E-2</v>
      </c>
    </row>
    <row r="406" spans="2:5" x14ac:dyDescent="0.25">
      <c r="B406" t="s">
        <v>381</v>
      </c>
      <c r="C406">
        <v>90</v>
      </c>
      <c r="D406">
        <v>-2.3242099999999999</v>
      </c>
      <c r="E406">
        <v>-2.5819999999999999E-2</v>
      </c>
    </row>
    <row r="407" spans="2:5" x14ac:dyDescent="0.25">
      <c r="B407" t="s">
        <v>276</v>
      </c>
      <c r="C407">
        <v>352</v>
      </c>
      <c r="D407">
        <v>-9.1116399999999995</v>
      </c>
      <c r="E407">
        <v>-2.589E-2</v>
      </c>
    </row>
    <row r="408" spans="2:5" x14ac:dyDescent="0.25">
      <c r="B408" t="s">
        <v>492</v>
      </c>
      <c r="C408">
        <v>108</v>
      </c>
      <c r="D408">
        <v>-2.7988</v>
      </c>
      <c r="E408">
        <v>-2.5909999999999999E-2</v>
      </c>
    </row>
    <row r="409" spans="2:5" x14ac:dyDescent="0.25">
      <c r="B409" t="s">
        <v>248</v>
      </c>
      <c r="C409">
        <v>412</v>
      </c>
      <c r="D409">
        <v>-10.8766</v>
      </c>
      <c r="E409">
        <v>-2.64E-2</v>
      </c>
    </row>
    <row r="410" spans="2:5" x14ac:dyDescent="0.25">
      <c r="B410" t="s">
        <v>736</v>
      </c>
      <c r="C410">
        <v>36</v>
      </c>
      <c r="D410">
        <v>-0.95374999999999999</v>
      </c>
      <c r="E410">
        <v>-2.649E-2</v>
      </c>
    </row>
    <row r="411" spans="2:5" x14ac:dyDescent="0.25">
      <c r="B411" t="s">
        <v>718</v>
      </c>
      <c r="C411">
        <v>124</v>
      </c>
      <c r="D411">
        <v>-3.2899500000000002</v>
      </c>
      <c r="E411">
        <v>-2.6530000000000001E-2</v>
      </c>
    </row>
    <row r="412" spans="2:5" x14ac:dyDescent="0.25">
      <c r="B412" t="s">
        <v>328</v>
      </c>
      <c r="C412">
        <v>271</v>
      </c>
      <c r="D412">
        <v>-7.20181</v>
      </c>
      <c r="E412">
        <v>-2.657E-2</v>
      </c>
    </row>
    <row r="413" spans="2:5" x14ac:dyDescent="0.25">
      <c r="B413" t="s">
        <v>145</v>
      </c>
      <c r="C413">
        <v>528</v>
      </c>
      <c r="D413">
        <v>-14.127750000000001</v>
      </c>
      <c r="E413">
        <v>-2.6759999999999999E-2</v>
      </c>
    </row>
    <row r="414" spans="2:5" x14ac:dyDescent="0.25">
      <c r="B414" t="s">
        <v>453</v>
      </c>
      <c r="C414">
        <v>143</v>
      </c>
      <c r="D414">
        <v>-3.8476300000000001</v>
      </c>
      <c r="E414">
        <v>-2.691E-2</v>
      </c>
    </row>
    <row r="415" spans="2:5" x14ac:dyDescent="0.25">
      <c r="B415" t="s">
        <v>298</v>
      </c>
      <c r="C415">
        <v>238</v>
      </c>
      <c r="D415">
        <v>-6.4286799999999999</v>
      </c>
      <c r="E415">
        <v>-2.7009999999999999E-2</v>
      </c>
    </row>
    <row r="416" spans="2:5" x14ac:dyDescent="0.25">
      <c r="B416" t="s">
        <v>725</v>
      </c>
      <c r="C416">
        <v>38</v>
      </c>
      <c r="D416">
        <v>-1.0283199999999999</v>
      </c>
      <c r="E416">
        <v>-2.7060000000000001E-2</v>
      </c>
    </row>
    <row r="417" spans="2:5" x14ac:dyDescent="0.25">
      <c r="B417" t="s">
        <v>182</v>
      </c>
      <c r="C417">
        <v>419</v>
      </c>
      <c r="D417">
        <v>-11.37298</v>
      </c>
      <c r="E417">
        <v>-2.7140000000000001E-2</v>
      </c>
    </row>
    <row r="418" spans="2:5" x14ac:dyDescent="0.25">
      <c r="B418" t="s">
        <v>14</v>
      </c>
      <c r="C418">
        <v>362</v>
      </c>
      <c r="D418">
        <v>-9.8735700000000008</v>
      </c>
      <c r="E418">
        <v>-2.7279999999999999E-2</v>
      </c>
    </row>
    <row r="419" spans="2:5" x14ac:dyDescent="0.25">
      <c r="B419" t="s">
        <v>136</v>
      </c>
      <c r="C419">
        <v>325</v>
      </c>
      <c r="D419">
        <v>-8.9335599999999999</v>
      </c>
      <c r="E419">
        <v>-2.7490000000000001E-2</v>
      </c>
    </row>
    <row r="420" spans="2:5" x14ac:dyDescent="0.25">
      <c r="B420" t="s">
        <v>859</v>
      </c>
      <c r="C420">
        <v>6</v>
      </c>
      <c r="D420">
        <v>-0.16661999999999999</v>
      </c>
      <c r="E420">
        <v>-2.777E-2</v>
      </c>
    </row>
    <row r="421" spans="2:5" x14ac:dyDescent="0.25">
      <c r="B421" t="s">
        <v>65</v>
      </c>
      <c r="C421">
        <v>169</v>
      </c>
      <c r="D421">
        <v>-4.7491500000000002</v>
      </c>
      <c r="E421">
        <v>-2.81E-2</v>
      </c>
    </row>
    <row r="422" spans="2:5" x14ac:dyDescent="0.25">
      <c r="B422" t="s">
        <v>216</v>
      </c>
      <c r="C422">
        <v>371</v>
      </c>
      <c r="D422">
        <v>-10.44308</v>
      </c>
      <c r="E422">
        <v>-2.8150000000000001E-2</v>
      </c>
    </row>
    <row r="423" spans="2:5" x14ac:dyDescent="0.25">
      <c r="B423" t="s">
        <v>598</v>
      </c>
      <c r="C423">
        <v>3</v>
      </c>
      <c r="D423">
        <v>-8.4970000000000004E-2</v>
      </c>
      <c r="E423">
        <v>-2.8320000000000001E-2</v>
      </c>
    </row>
    <row r="424" spans="2:5" x14ac:dyDescent="0.25">
      <c r="B424" t="s">
        <v>348</v>
      </c>
      <c r="C424">
        <v>127</v>
      </c>
      <c r="D424">
        <v>-3.5992099999999998</v>
      </c>
      <c r="E424">
        <v>-2.8340000000000001E-2</v>
      </c>
    </row>
    <row r="425" spans="2:5" x14ac:dyDescent="0.25">
      <c r="B425" t="s">
        <v>347</v>
      </c>
      <c r="C425">
        <v>215</v>
      </c>
      <c r="D425">
        <v>-6.1089700000000002</v>
      </c>
      <c r="E425">
        <v>-2.8410000000000001E-2</v>
      </c>
    </row>
    <row r="426" spans="2:5" x14ac:dyDescent="0.25">
      <c r="B426" t="s">
        <v>730</v>
      </c>
      <c r="C426">
        <v>49</v>
      </c>
      <c r="D426">
        <v>-1.4073199999999999</v>
      </c>
      <c r="E426">
        <v>-2.8719999999999999E-2</v>
      </c>
    </row>
    <row r="427" spans="2:5" x14ac:dyDescent="0.25">
      <c r="B427" t="s">
        <v>675</v>
      </c>
      <c r="C427">
        <v>186</v>
      </c>
      <c r="D427">
        <v>-5.3495900000000001</v>
      </c>
      <c r="E427">
        <v>-2.8760000000000001E-2</v>
      </c>
    </row>
    <row r="428" spans="2:5" x14ac:dyDescent="0.25">
      <c r="B428" t="s">
        <v>362</v>
      </c>
      <c r="C428">
        <v>158</v>
      </c>
      <c r="D428">
        <v>-4.5754900000000003</v>
      </c>
      <c r="E428">
        <v>-2.896E-2</v>
      </c>
    </row>
    <row r="429" spans="2:5" x14ac:dyDescent="0.25">
      <c r="B429" t="s">
        <v>277</v>
      </c>
      <c r="C429">
        <v>206</v>
      </c>
      <c r="D429">
        <v>-6.01912</v>
      </c>
      <c r="E429">
        <v>-2.9219999999999999E-2</v>
      </c>
    </row>
    <row r="430" spans="2:5" x14ac:dyDescent="0.25">
      <c r="B430" t="s">
        <v>490</v>
      </c>
      <c r="C430">
        <v>417</v>
      </c>
      <c r="D430">
        <v>-12.374090000000001</v>
      </c>
      <c r="E430">
        <v>-2.9669999999999998E-2</v>
      </c>
    </row>
    <row r="431" spans="2:5" x14ac:dyDescent="0.25">
      <c r="B431" t="s">
        <v>181</v>
      </c>
      <c r="C431">
        <v>438</v>
      </c>
      <c r="D431">
        <v>-13.01525</v>
      </c>
      <c r="E431">
        <v>-2.972E-2</v>
      </c>
    </row>
    <row r="432" spans="2:5" x14ac:dyDescent="0.25">
      <c r="B432" t="s">
        <v>294</v>
      </c>
      <c r="C432">
        <v>204</v>
      </c>
      <c r="D432">
        <v>-6.1172599999999999</v>
      </c>
      <c r="E432">
        <v>-2.9989999999999999E-2</v>
      </c>
    </row>
    <row r="433" spans="2:5" x14ac:dyDescent="0.25">
      <c r="B433" t="s">
        <v>882</v>
      </c>
      <c r="C433">
        <v>12</v>
      </c>
      <c r="D433">
        <v>-0.36299999999999999</v>
      </c>
      <c r="E433">
        <v>-3.0249999999999999E-2</v>
      </c>
    </row>
    <row r="434" spans="2:5" x14ac:dyDescent="0.25">
      <c r="B434" t="s">
        <v>353</v>
      </c>
      <c r="C434">
        <v>273</v>
      </c>
      <c r="D434">
        <v>-8.3343000000000007</v>
      </c>
      <c r="E434">
        <v>-3.0530000000000002E-2</v>
      </c>
    </row>
    <row r="435" spans="2:5" x14ac:dyDescent="0.25">
      <c r="B435" t="s">
        <v>511</v>
      </c>
      <c r="C435">
        <v>347</v>
      </c>
      <c r="D435">
        <v>-10.59675</v>
      </c>
      <c r="E435">
        <v>-3.0540000000000001E-2</v>
      </c>
    </row>
    <row r="436" spans="2:5" x14ac:dyDescent="0.25">
      <c r="B436" t="s">
        <v>790</v>
      </c>
      <c r="C436">
        <v>60</v>
      </c>
      <c r="D436">
        <v>-1.8434200000000001</v>
      </c>
      <c r="E436">
        <v>-3.0720000000000001E-2</v>
      </c>
    </row>
    <row r="437" spans="2:5" x14ac:dyDescent="0.25">
      <c r="B437" t="s">
        <v>6</v>
      </c>
      <c r="C437">
        <v>665</v>
      </c>
      <c r="D437">
        <v>-20.873159999999999</v>
      </c>
      <c r="E437">
        <v>-3.1390000000000001E-2</v>
      </c>
    </row>
    <row r="438" spans="2:5" x14ac:dyDescent="0.25">
      <c r="B438" t="s">
        <v>444</v>
      </c>
      <c r="C438">
        <v>353</v>
      </c>
      <c r="D438">
        <v>-11.160589999999999</v>
      </c>
      <c r="E438">
        <v>-3.1620000000000002E-2</v>
      </c>
    </row>
    <row r="439" spans="2:5" x14ac:dyDescent="0.25">
      <c r="B439" t="s">
        <v>3</v>
      </c>
      <c r="C439">
        <v>288</v>
      </c>
      <c r="D439">
        <v>-9.1553199999999997</v>
      </c>
      <c r="E439">
        <v>-3.1789999999999999E-2</v>
      </c>
    </row>
    <row r="440" spans="2:5" x14ac:dyDescent="0.25">
      <c r="B440" t="s">
        <v>205</v>
      </c>
      <c r="C440">
        <v>260</v>
      </c>
      <c r="D440">
        <v>-8.2720099999999999</v>
      </c>
      <c r="E440">
        <v>-3.1820000000000001E-2</v>
      </c>
    </row>
    <row r="441" spans="2:5" x14ac:dyDescent="0.25">
      <c r="B441" t="s">
        <v>17</v>
      </c>
      <c r="C441">
        <v>511</v>
      </c>
      <c r="D441">
        <v>-16.280139999999999</v>
      </c>
      <c r="E441">
        <v>-3.1859999999999999E-2</v>
      </c>
    </row>
    <row r="442" spans="2:5" x14ac:dyDescent="0.25">
      <c r="B442" t="s">
        <v>203</v>
      </c>
      <c r="C442">
        <v>377</v>
      </c>
      <c r="D442">
        <v>-12.019130000000001</v>
      </c>
      <c r="E442">
        <v>-3.1879999999999999E-2</v>
      </c>
    </row>
    <row r="443" spans="2:5" x14ac:dyDescent="0.25">
      <c r="B443" t="s">
        <v>732</v>
      </c>
      <c r="C443">
        <v>150</v>
      </c>
      <c r="D443">
        <v>-4.8430600000000004</v>
      </c>
      <c r="E443">
        <v>-3.2289999999999999E-2</v>
      </c>
    </row>
    <row r="444" spans="2:5" x14ac:dyDescent="0.25">
      <c r="B444" t="s">
        <v>159</v>
      </c>
      <c r="C444">
        <v>325</v>
      </c>
      <c r="D444">
        <v>-10.620419999999999</v>
      </c>
      <c r="E444">
        <v>-3.2680000000000001E-2</v>
      </c>
    </row>
    <row r="445" spans="2:5" x14ac:dyDescent="0.25">
      <c r="B445" t="s">
        <v>707</v>
      </c>
      <c r="C445">
        <v>213</v>
      </c>
      <c r="D445">
        <v>-6.9659700000000004</v>
      </c>
      <c r="E445">
        <v>-3.27E-2</v>
      </c>
    </row>
    <row r="446" spans="2:5" x14ac:dyDescent="0.25">
      <c r="B446" t="s">
        <v>124</v>
      </c>
      <c r="C446">
        <v>114</v>
      </c>
      <c r="D446">
        <v>-3.7385299999999999</v>
      </c>
      <c r="E446">
        <v>-3.279E-2</v>
      </c>
    </row>
    <row r="447" spans="2:5" x14ac:dyDescent="0.25">
      <c r="B447" t="s">
        <v>54</v>
      </c>
      <c r="C447">
        <v>284</v>
      </c>
      <c r="D447">
        <v>-9.5379400000000008</v>
      </c>
      <c r="E447">
        <v>-3.3579999999999999E-2</v>
      </c>
    </row>
    <row r="448" spans="2:5" x14ac:dyDescent="0.25">
      <c r="B448" t="s">
        <v>635</v>
      </c>
      <c r="C448">
        <v>74</v>
      </c>
      <c r="D448">
        <v>-2.5626899999999999</v>
      </c>
      <c r="E448">
        <v>-3.4630000000000001E-2</v>
      </c>
    </row>
    <row r="449" spans="2:5" x14ac:dyDescent="0.25">
      <c r="B449" t="s">
        <v>76</v>
      </c>
      <c r="C449">
        <v>262</v>
      </c>
      <c r="D449">
        <v>-9.0760900000000007</v>
      </c>
      <c r="E449">
        <v>-3.4639999999999997E-2</v>
      </c>
    </row>
    <row r="450" spans="2:5" x14ac:dyDescent="0.25">
      <c r="B450" t="s">
        <v>674</v>
      </c>
      <c r="C450">
        <v>104</v>
      </c>
      <c r="D450">
        <v>-3.6169699999999998</v>
      </c>
      <c r="E450">
        <v>-3.4779999999999998E-2</v>
      </c>
    </row>
    <row r="451" spans="2:5" x14ac:dyDescent="0.25">
      <c r="B451" t="s">
        <v>286</v>
      </c>
      <c r="C451">
        <v>82</v>
      </c>
      <c r="D451">
        <v>-2.8632399999999998</v>
      </c>
      <c r="E451">
        <v>-3.492E-2</v>
      </c>
    </row>
    <row r="452" spans="2:5" x14ac:dyDescent="0.25">
      <c r="B452" t="s">
        <v>263</v>
      </c>
      <c r="C452">
        <v>211</v>
      </c>
      <c r="D452">
        <v>-7.3859500000000002</v>
      </c>
      <c r="E452">
        <v>-3.5000000000000003E-2</v>
      </c>
    </row>
    <row r="453" spans="2:5" x14ac:dyDescent="0.25">
      <c r="B453" t="s">
        <v>101</v>
      </c>
      <c r="C453">
        <v>250</v>
      </c>
      <c r="D453">
        <v>-8.8420500000000004</v>
      </c>
      <c r="E453">
        <v>-3.5369999999999999E-2</v>
      </c>
    </row>
    <row r="454" spans="2:5" x14ac:dyDescent="0.25">
      <c r="B454" t="s">
        <v>194</v>
      </c>
      <c r="C454">
        <v>498</v>
      </c>
      <c r="D454">
        <v>-17.715630000000001</v>
      </c>
      <c r="E454">
        <v>-3.5569999999999997E-2</v>
      </c>
    </row>
    <row r="455" spans="2:5" x14ac:dyDescent="0.25">
      <c r="B455" t="s">
        <v>118</v>
      </c>
      <c r="C455">
        <v>188</v>
      </c>
      <c r="D455">
        <v>-6.7169699999999999</v>
      </c>
      <c r="E455">
        <v>-3.5729999999999998E-2</v>
      </c>
    </row>
    <row r="456" spans="2:5" x14ac:dyDescent="0.25">
      <c r="B456" t="s">
        <v>217</v>
      </c>
      <c r="C456">
        <v>494</v>
      </c>
      <c r="D456">
        <v>-17.892720000000001</v>
      </c>
      <c r="E456">
        <v>-3.6220000000000002E-2</v>
      </c>
    </row>
    <row r="457" spans="2:5" x14ac:dyDescent="0.25">
      <c r="B457" t="s">
        <v>387</v>
      </c>
      <c r="C457">
        <v>493</v>
      </c>
      <c r="D457">
        <v>-17.9636</v>
      </c>
      <c r="E457">
        <v>-3.644E-2</v>
      </c>
    </row>
    <row r="458" spans="2:5" x14ac:dyDescent="0.25">
      <c r="B458" t="s">
        <v>354</v>
      </c>
      <c r="C458">
        <v>111</v>
      </c>
      <c r="D458">
        <v>-4.0854999999999997</v>
      </c>
      <c r="E458">
        <v>-3.6810000000000002E-2</v>
      </c>
    </row>
    <row r="459" spans="2:5" x14ac:dyDescent="0.25">
      <c r="B459" t="s">
        <v>271</v>
      </c>
      <c r="C459">
        <v>574</v>
      </c>
      <c r="D459">
        <v>-21.15334</v>
      </c>
      <c r="E459">
        <v>-3.6850000000000001E-2</v>
      </c>
    </row>
    <row r="460" spans="2:5" x14ac:dyDescent="0.25">
      <c r="B460" t="s">
        <v>186</v>
      </c>
      <c r="C460">
        <v>197</v>
      </c>
      <c r="D460">
        <v>-7.2643500000000003</v>
      </c>
      <c r="E460">
        <v>-3.687E-2</v>
      </c>
    </row>
    <row r="461" spans="2:5" x14ac:dyDescent="0.25">
      <c r="B461" t="s">
        <v>624</v>
      </c>
      <c r="C461">
        <v>183</v>
      </c>
      <c r="D461">
        <v>-6.7852300000000003</v>
      </c>
      <c r="E461">
        <v>-3.7080000000000002E-2</v>
      </c>
    </row>
    <row r="462" spans="2:5" x14ac:dyDescent="0.25">
      <c r="B462" t="s">
        <v>41</v>
      </c>
      <c r="C462">
        <v>107</v>
      </c>
      <c r="D462">
        <v>-3.9734099999999999</v>
      </c>
      <c r="E462">
        <v>-3.7130000000000003E-2</v>
      </c>
    </row>
    <row r="463" spans="2:5" x14ac:dyDescent="0.25">
      <c r="B463" t="s">
        <v>512</v>
      </c>
      <c r="C463">
        <v>229</v>
      </c>
      <c r="D463">
        <v>-8.5846499999999999</v>
      </c>
      <c r="E463">
        <v>-3.7490000000000002E-2</v>
      </c>
    </row>
    <row r="464" spans="2:5" x14ac:dyDescent="0.25">
      <c r="B464" t="s">
        <v>687</v>
      </c>
      <c r="C464">
        <v>170</v>
      </c>
      <c r="D464">
        <v>-6.40015</v>
      </c>
      <c r="E464">
        <v>-3.7650000000000003E-2</v>
      </c>
    </row>
    <row r="465" spans="2:5" x14ac:dyDescent="0.25">
      <c r="B465" t="s">
        <v>686</v>
      </c>
      <c r="C465">
        <v>136</v>
      </c>
      <c r="D465">
        <v>-5.1291900000000004</v>
      </c>
      <c r="E465">
        <v>-3.771E-2</v>
      </c>
    </row>
    <row r="466" spans="2:5" x14ac:dyDescent="0.25">
      <c r="B466" t="s">
        <v>705</v>
      </c>
      <c r="C466">
        <v>112</v>
      </c>
      <c r="D466">
        <v>-4.2337300000000004</v>
      </c>
      <c r="E466">
        <v>-3.78E-2</v>
      </c>
    </row>
    <row r="467" spans="2:5" x14ac:dyDescent="0.25">
      <c r="B467" t="s">
        <v>804</v>
      </c>
      <c r="C467">
        <v>26</v>
      </c>
      <c r="D467">
        <v>-0.99192999999999998</v>
      </c>
      <c r="E467">
        <v>-3.8150000000000003E-2</v>
      </c>
    </row>
    <row r="468" spans="2:5" x14ac:dyDescent="0.25">
      <c r="B468" t="s">
        <v>291</v>
      </c>
      <c r="C468">
        <v>51</v>
      </c>
      <c r="D468">
        <v>-1.9539500000000001</v>
      </c>
      <c r="E468">
        <v>-3.8309999999999997E-2</v>
      </c>
    </row>
    <row r="469" spans="2:5" x14ac:dyDescent="0.25">
      <c r="B469" t="s">
        <v>652</v>
      </c>
      <c r="C469">
        <v>126</v>
      </c>
      <c r="D469">
        <v>-4.8291399999999998</v>
      </c>
      <c r="E469">
        <v>-3.8330000000000003E-2</v>
      </c>
    </row>
    <row r="470" spans="2:5" x14ac:dyDescent="0.25">
      <c r="B470" t="s">
        <v>125</v>
      </c>
      <c r="C470">
        <v>154</v>
      </c>
      <c r="D470">
        <v>-5.9153500000000001</v>
      </c>
      <c r="E470">
        <v>-3.841E-2</v>
      </c>
    </row>
    <row r="471" spans="2:5" x14ac:dyDescent="0.25">
      <c r="B471" t="s">
        <v>158</v>
      </c>
      <c r="C471">
        <v>115</v>
      </c>
      <c r="D471">
        <v>-4.4242100000000004</v>
      </c>
      <c r="E471">
        <v>-3.8469999999999997E-2</v>
      </c>
    </row>
    <row r="472" spans="2:5" x14ac:dyDescent="0.25">
      <c r="B472" t="s">
        <v>933</v>
      </c>
      <c r="C472">
        <v>11</v>
      </c>
      <c r="D472">
        <v>-0.42753999999999998</v>
      </c>
      <c r="E472">
        <v>-3.8870000000000002E-2</v>
      </c>
    </row>
    <row r="473" spans="2:5" x14ac:dyDescent="0.25">
      <c r="B473" t="s">
        <v>457</v>
      </c>
      <c r="C473">
        <v>247</v>
      </c>
      <c r="D473">
        <v>-9.71204</v>
      </c>
      <c r="E473">
        <v>-3.9320000000000001E-2</v>
      </c>
    </row>
    <row r="474" spans="2:5" x14ac:dyDescent="0.25">
      <c r="B474" t="s">
        <v>93</v>
      </c>
      <c r="C474">
        <v>14</v>
      </c>
      <c r="D474">
        <v>-0.5514</v>
      </c>
      <c r="E474">
        <v>-3.9390000000000001E-2</v>
      </c>
    </row>
    <row r="475" spans="2:5" x14ac:dyDescent="0.25">
      <c r="B475" t="s">
        <v>172</v>
      </c>
      <c r="C475">
        <v>191</v>
      </c>
      <c r="D475">
        <v>-7.6180399999999997</v>
      </c>
      <c r="E475">
        <v>-3.9890000000000002E-2</v>
      </c>
    </row>
    <row r="476" spans="2:5" x14ac:dyDescent="0.25">
      <c r="B476" t="s">
        <v>388</v>
      </c>
      <c r="C476">
        <v>412</v>
      </c>
      <c r="D476">
        <v>-16.570820000000001</v>
      </c>
      <c r="E476">
        <v>-4.0219999999999999E-2</v>
      </c>
    </row>
    <row r="477" spans="2:5" x14ac:dyDescent="0.25">
      <c r="B477" t="s">
        <v>729</v>
      </c>
      <c r="C477">
        <v>255</v>
      </c>
      <c r="D477">
        <v>-10.320309999999999</v>
      </c>
      <c r="E477">
        <v>-4.0469999999999999E-2</v>
      </c>
    </row>
    <row r="478" spans="2:5" x14ac:dyDescent="0.25">
      <c r="B478" t="s">
        <v>252</v>
      </c>
      <c r="C478">
        <v>356</v>
      </c>
      <c r="D478">
        <v>-14.45388</v>
      </c>
      <c r="E478">
        <v>-4.0599999999999997E-2</v>
      </c>
    </row>
    <row r="479" spans="2:5" x14ac:dyDescent="0.25">
      <c r="B479" t="s">
        <v>499</v>
      </c>
      <c r="C479">
        <v>55</v>
      </c>
      <c r="D479">
        <v>-2.23712</v>
      </c>
      <c r="E479">
        <v>-4.0669999999999998E-2</v>
      </c>
    </row>
    <row r="480" spans="2:5" x14ac:dyDescent="0.25">
      <c r="B480" t="s">
        <v>592</v>
      </c>
      <c r="C480">
        <v>426</v>
      </c>
      <c r="D480">
        <v>-17.431509999999999</v>
      </c>
      <c r="E480">
        <v>-4.0919999999999998E-2</v>
      </c>
    </row>
    <row r="481" spans="2:5" x14ac:dyDescent="0.25">
      <c r="B481" t="s">
        <v>538</v>
      </c>
      <c r="C481">
        <v>311</v>
      </c>
      <c r="D481">
        <v>-12.809469999999999</v>
      </c>
      <c r="E481">
        <v>-4.1189999999999997E-2</v>
      </c>
    </row>
    <row r="482" spans="2:5" x14ac:dyDescent="0.25">
      <c r="B482" t="s">
        <v>57</v>
      </c>
      <c r="C482">
        <v>260</v>
      </c>
      <c r="D482">
        <v>-10.78715</v>
      </c>
      <c r="E482">
        <v>-4.1489999999999999E-2</v>
      </c>
    </row>
    <row r="483" spans="2:5" x14ac:dyDescent="0.25">
      <c r="B483" t="s">
        <v>108</v>
      </c>
      <c r="C483">
        <v>301</v>
      </c>
      <c r="D483">
        <v>-12.499980000000001</v>
      </c>
      <c r="E483">
        <v>-4.1529999999999997E-2</v>
      </c>
    </row>
    <row r="484" spans="2:5" x14ac:dyDescent="0.25">
      <c r="B484" t="s">
        <v>645</v>
      </c>
      <c r="C484">
        <v>136</v>
      </c>
      <c r="D484">
        <v>-5.65604</v>
      </c>
      <c r="E484">
        <v>-4.1590000000000002E-2</v>
      </c>
    </row>
    <row r="485" spans="2:5" x14ac:dyDescent="0.25">
      <c r="B485" t="s">
        <v>103</v>
      </c>
      <c r="C485">
        <v>78</v>
      </c>
      <c r="D485">
        <v>-3.2827000000000002</v>
      </c>
      <c r="E485">
        <v>-4.2090000000000002E-2</v>
      </c>
    </row>
    <row r="486" spans="2:5" x14ac:dyDescent="0.25">
      <c r="B486" t="s">
        <v>26</v>
      </c>
      <c r="C486">
        <v>327</v>
      </c>
      <c r="D486">
        <v>-13.80283</v>
      </c>
      <c r="E486">
        <v>-4.2209999999999998E-2</v>
      </c>
    </row>
    <row r="487" spans="2:5" x14ac:dyDescent="0.25">
      <c r="B487" t="s">
        <v>345</v>
      </c>
      <c r="C487">
        <v>368</v>
      </c>
      <c r="D487">
        <v>-15.562709999999999</v>
      </c>
      <c r="E487">
        <v>-4.2290000000000001E-2</v>
      </c>
    </row>
    <row r="488" spans="2:5" x14ac:dyDescent="0.25">
      <c r="B488" t="s">
        <v>20</v>
      </c>
      <c r="C488">
        <v>469</v>
      </c>
      <c r="D488">
        <v>-20.06748</v>
      </c>
      <c r="E488">
        <v>-4.2790000000000002E-2</v>
      </c>
    </row>
    <row r="489" spans="2:5" x14ac:dyDescent="0.25">
      <c r="B489" t="s">
        <v>247</v>
      </c>
      <c r="C489">
        <v>298</v>
      </c>
      <c r="D489">
        <v>-12.776999999999999</v>
      </c>
      <c r="E489">
        <v>-4.2880000000000001E-2</v>
      </c>
    </row>
    <row r="490" spans="2:5" x14ac:dyDescent="0.25">
      <c r="B490" t="s">
        <v>326</v>
      </c>
      <c r="C490">
        <v>290</v>
      </c>
      <c r="D490">
        <v>-12.77046</v>
      </c>
      <c r="E490">
        <v>-4.4040000000000003E-2</v>
      </c>
    </row>
    <row r="491" spans="2:5" x14ac:dyDescent="0.25">
      <c r="B491" t="s">
        <v>837</v>
      </c>
      <c r="C491">
        <v>5</v>
      </c>
      <c r="D491">
        <v>-0.22120000000000001</v>
      </c>
      <c r="E491">
        <v>-4.4240000000000002E-2</v>
      </c>
    </row>
    <row r="492" spans="2:5" x14ac:dyDescent="0.25">
      <c r="B492" t="s">
        <v>376</v>
      </c>
      <c r="C492">
        <v>249</v>
      </c>
      <c r="D492">
        <v>-11.050459999999999</v>
      </c>
      <c r="E492">
        <v>-4.4380000000000003E-2</v>
      </c>
    </row>
    <row r="493" spans="2:5" x14ac:dyDescent="0.25">
      <c r="B493" t="s">
        <v>297</v>
      </c>
      <c r="C493">
        <v>473</v>
      </c>
      <c r="D493">
        <v>-21.120080000000002</v>
      </c>
      <c r="E493">
        <v>-4.4650000000000002E-2</v>
      </c>
    </row>
    <row r="494" spans="2:5" x14ac:dyDescent="0.25">
      <c r="B494" t="s">
        <v>46</v>
      </c>
      <c r="C494">
        <v>178</v>
      </c>
      <c r="D494">
        <v>-8.0508900000000008</v>
      </c>
      <c r="E494">
        <v>-4.5229999999999999E-2</v>
      </c>
    </row>
    <row r="495" spans="2:5" x14ac:dyDescent="0.25">
      <c r="B495" t="s">
        <v>733</v>
      </c>
      <c r="C495">
        <v>148</v>
      </c>
      <c r="D495">
        <v>-6.7109100000000002</v>
      </c>
      <c r="E495">
        <v>-4.5339999999999998E-2</v>
      </c>
    </row>
    <row r="496" spans="2:5" x14ac:dyDescent="0.25">
      <c r="B496" t="s">
        <v>644</v>
      </c>
      <c r="C496">
        <v>403</v>
      </c>
      <c r="D496">
        <v>-18.292750000000002</v>
      </c>
      <c r="E496">
        <v>-4.539E-2</v>
      </c>
    </row>
    <row r="497" spans="2:5" x14ac:dyDescent="0.25">
      <c r="B497" t="s">
        <v>204</v>
      </c>
      <c r="C497">
        <v>121</v>
      </c>
      <c r="D497">
        <v>-5.5032899999999998</v>
      </c>
      <c r="E497">
        <v>-4.548E-2</v>
      </c>
    </row>
    <row r="498" spans="2:5" x14ac:dyDescent="0.25">
      <c r="B498" t="s">
        <v>423</v>
      </c>
      <c r="C498">
        <v>90</v>
      </c>
      <c r="D498">
        <v>-4.0979599999999996</v>
      </c>
      <c r="E498">
        <v>-4.5530000000000001E-2</v>
      </c>
    </row>
    <row r="499" spans="2:5" x14ac:dyDescent="0.25">
      <c r="B499" t="s">
        <v>669</v>
      </c>
      <c r="C499">
        <v>108</v>
      </c>
      <c r="D499">
        <v>-4.9321299999999999</v>
      </c>
      <c r="E499">
        <v>-4.5670000000000002E-2</v>
      </c>
    </row>
    <row r="500" spans="2:5" x14ac:dyDescent="0.25">
      <c r="B500" t="s">
        <v>143</v>
      </c>
      <c r="C500">
        <v>295</v>
      </c>
      <c r="D500">
        <v>-13.54322</v>
      </c>
      <c r="E500">
        <v>-4.5909999999999999E-2</v>
      </c>
    </row>
    <row r="501" spans="2:5" x14ac:dyDescent="0.25">
      <c r="B501" t="s">
        <v>871</v>
      </c>
      <c r="C501">
        <v>18</v>
      </c>
      <c r="D501">
        <v>-0.82699</v>
      </c>
      <c r="E501">
        <v>-4.5940000000000002E-2</v>
      </c>
    </row>
    <row r="502" spans="2:5" x14ac:dyDescent="0.25">
      <c r="B502" t="s">
        <v>494</v>
      </c>
      <c r="C502">
        <v>70</v>
      </c>
      <c r="D502">
        <v>-3.2515499999999999</v>
      </c>
      <c r="E502">
        <v>-4.6449999999999998E-2</v>
      </c>
    </row>
    <row r="503" spans="2:5" x14ac:dyDescent="0.25">
      <c r="B503" t="s">
        <v>130</v>
      </c>
      <c r="C503">
        <v>377</v>
      </c>
      <c r="D503">
        <v>-17.5915</v>
      </c>
      <c r="E503">
        <v>-4.666E-2</v>
      </c>
    </row>
    <row r="504" spans="2:5" x14ac:dyDescent="0.25">
      <c r="B504" t="s">
        <v>312</v>
      </c>
      <c r="C504">
        <v>209</v>
      </c>
      <c r="D504">
        <v>-9.7963699999999996</v>
      </c>
      <c r="E504">
        <v>-4.6870000000000002E-2</v>
      </c>
    </row>
    <row r="505" spans="2:5" x14ac:dyDescent="0.25">
      <c r="B505" t="s">
        <v>936</v>
      </c>
      <c r="C505">
        <v>16</v>
      </c>
      <c r="D505">
        <v>-0.75014000000000003</v>
      </c>
      <c r="E505">
        <v>-4.6879999999999998E-2</v>
      </c>
    </row>
    <row r="506" spans="2:5" x14ac:dyDescent="0.25">
      <c r="B506" t="s">
        <v>389</v>
      </c>
      <c r="C506">
        <v>300</v>
      </c>
      <c r="D506">
        <v>-14.290380000000001</v>
      </c>
      <c r="E506">
        <v>-4.7629999999999999E-2</v>
      </c>
    </row>
    <row r="507" spans="2:5" x14ac:dyDescent="0.25">
      <c r="B507" t="s">
        <v>399</v>
      </c>
      <c r="C507">
        <v>24</v>
      </c>
      <c r="D507">
        <v>-1.1553899999999999</v>
      </c>
      <c r="E507">
        <v>-4.8140000000000002E-2</v>
      </c>
    </row>
    <row r="508" spans="2:5" x14ac:dyDescent="0.25">
      <c r="B508" t="s">
        <v>146</v>
      </c>
      <c r="C508">
        <v>543</v>
      </c>
      <c r="D508">
        <v>-26.147629999999999</v>
      </c>
      <c r="E508">
        <v>-4.8149999999999998E-2</v>
      </c>
    </row>
    <row r="509" spans="2:5" x14ac:dyDescent="0.25">
      <c r="B509" t="s">
        <v>519</v>
      </c>
      <c r="C509">
        <v>37</v>
      </c>
      <c r="D509">
        <v>-1.82216</v>
      </c>
      <c r="E509">
        <v>-4.9250000000000002E-2</v>
      </c>
    </row>
    <row r="510" spans="2:5" x14ac:dyDescent="0.25">
      <c r="B510" t="s">
        <v>25</v>
      </c>
      <c r="C510">
        <v>247</v>
      </c>
      <c r="D510">
        <v>-12.191050000000001</v>
      </c>
      <c r="E510">
        <v>-4.9360000000000001E-2</v>
      </c>
    </row>
    <row r="511" spans="2:5" x14ac:dyDescent="0.25">
      <c r="B511" t="s">
        <v>520</v>
      </c>
      <c r="C511">
        <v>40</v>
      </c>
      <c r="D511">
        <v>-1.98478</v>
      </c>
      <c r="E511">
        <v>-4.9619999999999997E-2</v>
      </c>
    </row>
    <row r="512" spans="2:5" x14ac:dyDescent="0.25">
      <c r="B512" t="s">
        <v>542</v>
      </c>
      <c r="C512">
        <v>327</v>
      </c>
      <c r="D512">
        <v>-16.22926</v>
      </c>
      <c r="E512">
        <v>-4.9630000000000001E-2</v>
      </c>
    </row>
    <row r="513" spans="2:5" x14ac:dyDescent="0.25">
      <c r="B513" t="s">
        <v>711</v>
      </c>
      <c r="C513">
        <v>81</v>
      </c>
      <c r="D513">
        <v>-4.0931499999999996</v>
      </c>
      <c r="E513">
        <v>-5.0529999999999999E-2</v>
      </c>
    </row>
    <row r="514" spans="2:5" x14ac:dyDescent="0.25">
      <c r="B514" t="s">
        <v>723</v>
      </c>
      <c r="C514">
        <v>133</v>
      </c>
      <c r="D514">
        <v>-6.7435600000000004</v>
      </c>
      <c r="E514">
        <v>-5.0700000000000002E-2</v>
      </c>
    </row>
    <row r="515" spans="2:5" x14ac:dyDescent="0.25">
      <c r="B515" t="s">
        <v>533</v>
      </c>
      <c r="C515">
        <v>69</v>
      </c>
      <c r="D515">
        <v>-3.52034</v>
      </c>
      <c r="E515">
        <v>-5.1020000000000003E-2</v>
      </c>
    </row>
    <row r="516" spans="2:5" x14ac:dyDescent="0.25">
      <c r="B516" t="s">
        <v>654</v>
      </c>
      <c r="C516">
        <v>72</v>
      </c>
      <c r="D516">
        <v>-3.68431</v>
      </c>
      <c r="E516">
        <v>-5.117E-2</v>
      </c>
    </row>
    <row r="517" spans="2:5" x14ac:dyDescent="0.25">
      <c r="B517" t="s">
        <v>148</v>
      </c>
      <c r="C517">
        <v>111</v>
      </c>
      <c r="D517">
        <v>-5.68147</v>
      </c>
      <c r="E517">
        <v>-5.1180000000000003E-2</v>
      </c>
    </row>
    <row r="518" spans="2:5" x14ac:dyDescent="0.25">
      <c r="B518" t="s">
        <v>213</v>
      </c>
      <c r="C518">
        <v>284</v>
      </c>
      <c r="D518">
        <v>-14.543060000000001</v>
      </c>
      <c r="E518">
        <v>-5.1209999999999999E-2</v>
      </c>
    </row>
    <row r="519" spans="2:5" x14ac:dyDescent="0.25">
      <c r="B519" t="s">
        <v>656</v>
      </c>
      <c r="C519">
        <v>124</v>
      </c>
      <c r="D519">
        <v>-6.3502799999999997</v>
      </c>
      <c r="E519">
        <v>-5.1209999999999999E-2</v>
      </c>
    </row>
    <row r="520" spans="2:5" x14ac:dyDescent="0.25">
      <c r="B520" t="s">
        <v>61</v>
      </c>
      <c r="C520">
        <v>285</v>
      </c>
      <c r="D520">
        <v>-14.71663</v>
      </c>
      <c r="E520">
        <v>-5.1639999999999998E-2</v>
      </c>
    </row>
    <row r="521" spans="2:5" x14ac:dyDescent="0.25">
      <c r="B521" t="s">
        <v>618</v>
      </c>
      <c r="C521">
        <v>247</v>
      </c>
      <c r="D521">
        <v>-12.84582</v>
      </c>
      <c r="E521">
        <v>-5.2010000000000001E-2</v>
      </c>
    </row>
    <row r="522" spans="2:5" x14ac:dyDescent="0.25">
      <c r="B522" t="s">
        <v>682</v>
      </c>
      <c r="C522">
        <v>55</v>
      </c>
      <c r="D522">
        <v>-2.8683000000000001</v>
      </c>
      <c r="E522">
        <v>-5.2150000000000002E-2</v>
      </c>
    </row>
    <row r="523" spans="2:5" x14ac:dyDescent="0.25">
      <c r="B523" t="s">
        <v>171</v>
      </c>
      <c r="C523">
        <v>187</v>
      </c>
      <c r="D523">
        <v>-9.8863800000000008</v>
      </c>
      <c r="E523">
        <v>-5.287E-2</v>
      </c>
    </row>
    <row r="524" spans="2:5" x14ac:dyDescent="0.25">
      <c r="B524" t="s">
        <v>132</v>
      </c>
      <c r="C524">
        <v>178</v>
      </c>
      <c r="D524">
        <v>-9.4280100000000004</v>
      </c>
      <c r="E524">
        <v>-5.2970000000000003E-2</v>
      </c>
    </row>
    <row r="525" spans="2:5" x14ac:dyDescent="0.25">
      <c r="B525" t="s">
        <v>968</v>
      </c>
      <c r="C525">
        <v>2</v>
      </c>
      <c r="D525">
        <v>-0.10599</v>
      </c>
      <c r="E525">
        <v>-5.2990000000000002E-2</v>
      </c>
    </row>
    <row r="526" spans="2:5" x14ac:dyDescent="0.25">
      <c r="B526" t="s">
        <v>119</v>
      </c>
      <c r="C526">
        <v>541</v>
      </c>
      <c r="D526">
        <v>-28.809640000000002</v>
      </c>
      <c r="E526">
        <v>-5.3249999999999999E-2</v>
      </c>
    </row>
    <row r="527" spans="2:5" x14ac:dyDescent="0.25">
      <c r="B527" t="s">
        <v>373</v>
      </c>
      <c r="C527">
        <v>137</v>
      </c>
      <c r="D527">
        <v>-7.3423699999999998</v>
      </c>
      <c r="E527">
        <v>-5.3589999999999999E-2</v>
      </c>
    </row>
    <row r="528" spans="2:5" x14ac:dyDescent="0.25">
      <c r="B528" t="s">
        <v>364</v>
      </c>
      <c r="C528">
        <v>82</v>
      </c>
      <c r="D528">
        <v>-4.4540600000000001</v>
      </c>
      <c r="E528">
        <v>-5.432E-2</v>
      </c>
    </row>
    <row r="529" spans="2:5" x14ac:dyDescent="0.25">
      <c r="B529" t="s">
        <v>461</v>
      </c>
      <c r="C529">
        <v>382</v>
      </c>
      <c r="D529">
        <v>-20.82713</v>
      </c>
      <c r="E529">
        <v>-5.4519999999999999E-2</v>
      </c>
    </row>
    <row r="530" spans="2:5" x14ac:dyDescent="0.25">
      <c r="B530" t="s">
        <v>288</v>
      </c>
      <c r="C530">
        <v>5</v>
      </c>
      <c r="D530">
        <v>-0.27528999999999998</v>
      </c>
      <c r="E530">
        <v>-5.5059999999999998E-2</v>
      </c>
    </row>
    <row r="531" spans="2:5" x14ac:dyDescent="0.25">
      <c r="B531" t="s">
        <v>94</v>
      </c>
      <c r="C531">
        <v>240</v>
      </c>
      <c r="D531">
        <v>-13.23306</v>
      </c>
      <c r="E531">
        <v>-5.5140000000000002E-2</v>
      </c>
    </row>
    <row r="532" spans="2:5" x14ac:dyDescent="0.25">
      <c r="B532" t="s">
        <v>260</v>
      </c>
      <c r="C532">
        <v>68</v>
      </c>
      <c r="D532">
        <v>-3.7659199999999999</v>
      </c>
      <c r="E532">
        <v>-5.5379999999999999E-2</v>
      </c>
    </row>
    <row r="533" spans="2:5" x14ac:dyDescent="0.25">
      <c r="B533" t="s">
        <v>419</v>
      </c>
      <c r="C533">
        <v>8</v>
      </c>
      <c r="D533">
        <v>-0.44347999999999999</v>
      </c>
      <c r="E533">
        <v>-5.543E-2</v>
      </c>
    </row>
    <row r="534" spans="2:5" x14ac:dyDescent="0.25">
      <c r="B534" t="s">
        <v>474</v>
      </c>
      <c r="C534">
        <v>61</v>
      </c>
      <c r="D534">
        <v>-3.39202</v>
      </c>
      <c r="E534">
        <v>-5.561E-2</v>
      </c>
    </row>
    <row r="535" spans="2:5" x14ac:dyDescent="0.25">
      <c r="B535" t="s">
        <v>483</v>
      </c>
      <c r="C535">
        <v>408</v>
      </c>
      <c r="D535">
        <v>-22.722059999999999</v>
      </c>
      <c r="E535">
        <v>-5.5690000000000003E-2</v>
      </c>
    </row>
    <row r="536" spans="2:5" x14ac:dyDescent="0.25">
      <c r="B536" t="s">
        <v>719</v>
      </c>
      <c r="C536">
        <v>161</v>
      </c>
      <c r="D536">
        <v>-8.9693299999999994</v>
      </c>
      <c r="E536">
        <v>-5.5710000000000003E-2</v>
      </c>
    </row>
    <row r="537" spans="2:5" x14ac:dyDescent="0.25">
      <c r="B537" t="s">
        <v>716</v>
      </c>
      <c r="C537">
        <v>13</v>
      </c>
      <c r="D537">
        <v>-0.73021000000000003</v>
      </c>
      <c r="E537">
        <v>-5.6169999999999998E-2</v>
      </c>
    </row>
    <row r="538" spans="2:5" x14ac:dyDescent="0.25">
      <c r="B538" t="s">
        <v>35</v>
      </c>
      <c r="C538">
        <v>426</v>
      </c>
      <c r="D538">
        <v>-23.96265</v>
      </c>
      <c r="E538">
        <v>-5.6250000000000001E-2</v>
      </c>
    </row>
    <row r="539" spans="2:5" x14ac:dyDescent="0.25">
      <c r="B539" t="s">
        <v>697</v>
      </c>
      <c r="C539">
        <v>105</v>
      </c>
      <c r="D539">
        <v>-5.9400599999999999</v>
      </c>
      <c r="E539">
        <v>-5.6570000000000002E-2</v>
      </c>
    </row>
    <row r="540" spans="2:5" x14ac:dyDescent="0.25">
      <c r="B540" t="s">
        <v>109</v>
      </c>
      <c r="C540">
        <v>157</v>
      </c>
      <c r="D540">
        <v>-8.9042700000000004</v>
      </c>
      <c r="E540">
        <v>-5.672E-2</v>
      </c>
    </row>
    <row r="541" spans="2:5" x14ac:dyDescent="0.25">
      <c r="B541" t="s">
        <v>653</v>
      </c>
      <c r="C541">
        <v>218</v>
      </c>
      <c r="D541">
        <v>-12.47012</v>
      </c>
      <c r="E541">
        <v>-5.7200000000000001E-2</v>
      </c>
    </row>
    <row r="542" spans="2:5" x14ac:dyDescent="0.25">
      <c r="B542" t="s">
        <v>196</v>
      </c>
      <c r="C542">
        <v>307</v>
      </c>
      <c r="D542">
        <v>-17.571529999999999</v>
      </c>
      <c r="E542">
        <v>-5.7239999999999999E-2</v>
      </c>
    </row>
    <row r="543" spans="2:5" x14ac:dyDescent="0.25">
      <c r="B543" t="s">
        <v>685</v>
      </c>
      <c r="C543">
        <v>254</v>
      </c>
      <c r="D543">
        <v>-14.617380000000001</v>
      </c>
      <c r="E543">
        <v>-5.7549999999999997E-2</v>
      </c>
    </row>
    <row r="544" spans="2:5" x14ac:dyDescent="0.25">
      <c r="B544" t="s">
        <v>696</v>
      </c>
      <c r="C544">
        <v>163</v>
      </c>
      <c r="D544">
        <v>-9.4752600000000005</v>
      </c>
      <c r="E544">
        <v>-5.8130000000000001E-2</v>
      </c>
    </row>
    <row r="545" spans="2:5" x14ac:dyDescent="0.25">
      <c r="B545" t="s">
        <v>634</v>
      </c>
      <c r="C545">
        <v>128</v>
      </c>
      <c r="D545">
        <v>-7.5190900000000003</v>
      </c>
      <c r="E545">
        <v>-5.8740000000000001E-2</v>
      </c>
    </row>
    <row r="546" spans="2:5" x14ac:dyDescent="0.25">
      <c r="B546" t="s">
        <v>236</v>
      </c>
      <c r="C546">
        <v>217</v>
      </c>
      <c r="D546">
        <v>-12.813750000000001</v>
      </c>
      <c r="E546">
        <v>-5.9049999999999998E-2</v>
      </c>
    </row>
    <row r="547" spans="2:5" x14ac:dyDescent="0.25">
      <c r="B547" t="s">
        <v>739</v>
      </c>
      <c r="C547">
        <v>68</v>
      </c>
      <c r="D547">
        <v>-4.0247200000000003</v>
      </c>
      <c r="E547">
        <v>-5.919E-2</v>
      </c>
    </row>
    <row r="548" spans="2:5" x14ac:dyDescent="0.25">
      <c r="B548" t="s">
        <v>104</v>
      </c>
      <c r="C548">
        <v>315</v>
      </c>
      <c r="D548">
        <v>-18.668050000000001</v>
      </c>
      <c r="E548">
        <v>-5.926E-2</v>
      </c>
    </row>
    <row r="549" spans="2:5" x14ac:dyDescent="0.25">
      <c r="B549" t="s">
        <v>860</v>
      </c>
      <c r="C549">
        <v>7</v>
      </c>
      <c r="D549">
        <v>-0.41772999999999999</v>
      </c>
      <c r="E549">
        <v>-5.9679999999999997E-2</v>
      </c>
    </row>
    <row r="550" spans="2:5" x14ac:dyDescent="0.25">
      <c r="B550" t="s">
        <v>496</v>
      </c>
      <c r="C550">
        <v>122</v>
      </c>
      <c r="D550">
        <v>-7.2963199999999997</v>
      </c>
      <c r="E550">
        <v>-5.9810000000000002E-2</v>
      </c>
    </row>
    <row r="551" spans="2:5" x14ac:dyDescent="0.25">
      <c r="B551" t="s">
        <v>748</v>
      </c>
      <c r="C551">
        <v>4</v>
      </c>
      <c r="D551">
        <v>-0.24006</v>
      </c>
      <c r="E551">
        <v>-6.0019999999999997E-2</v>
      </c>
    </row>
    <row r="552" spans="2:5" x14ac:dyDescent="0.25">
      <c r="B552" t="s">
        <v>55</v>
      </c>
      <c r="C552">
        <v>302</v>
      </c>
      <c r="D552">
        <v>-18.185600000000001</v>
      </c>
      <c r="E552">
        <v>-6.0220000000000003E-2</v>
      </c>
    </row>
    <row r="553" spans="2:5" x14ac:dyDescent="0.25">
      <c r="B553" t="s">
        <v>157</v>
      </c>
      <c r="C553">
        <v>450</v>
      </c>
      <c r="D553">
        <v>-27.214970000000001</v>
      </c>
      <c r="E553">
        <v>-6.0479999999999999E-2</v>
      </c>
    </row>
    <row r="554" spans="2:5" x14ac:dyDescent="0.25">
      <c r="B554" t="s">
        <v>880</v>
      </c>
      <c r="C554">
        <v>6</v>
      </c>
      <c r="D554">
        <v>-0.36293999999999998</v>
      </c>
      <c r="E554">
        <v>-6.0490000000000002E-2</v>
      </c>
    </row>
    <row r="555" spans="2:5" x14ac:dyDescent="0.25">
      <c r="B555" t="s">
        <v>264</v>
      </c>
      <c r="C555">
        <v>166</v>
      </c>
      <c r="D555">
        <v>-10.18243</v>
      </c>
      <c r="E555">
        <v>-6.1339999999999999E-2</v>
      </c>
    </row>
    <row r="556" spans="2:5" x14ac:dyDescent="0.25">
      <c r="B556" t="s">
        <v>110</v>
      </c>
      <c r="C556">
        <v>451</v>
      </c>
      <c r="D556">
        <v>-27.829719999999998</v>
      </c>
      <c r="E556">
        <v>-6.1710000000000001E-2</v>
      </c>
    </row>
    <row r="557" spans="2:5" x14ac:dyDescent="0.25">
      <c r="B557" t="s">
        <v>571</v>
      </c>
      <c r="C557">
        <v>229</v>
      </c>
      <c r="D557">
        <v>-14.15631</v>
      </c>
      <c r="E557">
        <v>-6.182E-2</v>
      </c>
    </row>
    <row r="558" spans="2:5" x14ac:dyDescent="0.25">
      <c r="B558" t="s">
        <v>572</v>
      </c>
      <c r="C558">
        <v>65</v>
      </c>
      <c r="D558">
        <v>-4.03247</v>
      </c>
      <c r="E558">
        <v>-6.2039999999999998E-2</v>
      </c>
    </row>
    <row r="559" spans="2:5" x14ac:dyDescent="0.25">
      <c r="B559" t="s">
        <v>450</v>
      </c>
      <c r="C559">
        <v>554</v>
      </c>
      <c r="D559">
        <v>-34.43291</v>
      </c>
      <c r="E559">
        <v>-6.2149999999999997E-2</v>
      </c>
    </row>
    <row r="560" spans="2:5" x14ac:dyDescent="0.25">
      <c r="B560" t="s">
        <v>712</v>
      </c>
      <c r="C560">
        <v>30</v>
      </c>
      <c r="D560">
        <v>-1.8847499999999999</v>
      </c>
      <c r="E560">
        <v>-6.2820000000000001E-2</v>
      </c>
    </row>
    <row r="561" spans="2:5" x14ac:dyDescent="0.25">
      <c r="B561" t="s">
        <v>694</v>
      </c>
      <c r="C561">
        <v>42</v>
      </c>
      <c r="D561">
        <v>-2.6484399999999999</v>
      </c>
      <c r="E561">
        <v>-6.3060000000000005E-2</v>
      </c>
    </row>
    <row r="562" spans="2:5" x14ac:dyDescent="0.25">
      <c r="B562" t="s">
        <v>120</v>
      </c>
      <c r="C562">
        <v>94</v>
      </c>
      <c r="D562">
        <v>-6.0012400000000001</v>
      </c>
      <c r="E562">
        <v>-6.3839999999999994E-2</v>
      </c>
    </row>
    <row r="563" spans="2:5" x14ac:dyDescent="0.25">
      <c r="B563" t="s">
        <v>738</v>
      </c>
      <c r="C563">
        <v>56</v>
      </c>
      <c r="D563">
        <v>-3.5917400000000002</v>
      </c>
      <c r="E563">
        <v>-6.4140000000000003E-2</v>
      </c>
    </row>
    <row r="564" spans="2:5" x14ac:dyDescent="0.25">
      <c r="B564" t="s">
        <v>185</v>
      </c>
      <c r="C564">
        <v>281</v>
      </c>
      <c r="D564">
        <v>-18.32734</v>
      </c>
      <c r="E564">
        <v>-6.522E-2</v>
      </c>
    </row>
    <row r="565" spans="2:5" x14ac:dyDescent="0.25">
      <c r="B565" t="s">
        <v>435</v>
      </c>
      <c r="C565">
        <v>17</v>
      </c>
      <c r="D565">
        <v>-1.12215</v>
      </c>
      <c r="E565">
        <v>-6.6009999999999999E-2</v>
      </c>
    </row>
    <row r="566" spans="2:5" x14ac:dyDescent="0.25">
      <c r="B566" t="s">
        <v>536</v>
      </c>
      <c r="C566">
        <v>151</v>
      </c>
      <c r="D566">
        <v>-10.077680000000001</v>
      </c>
      <c r="E566">
        <v>-6.6739999999999994E-2</v>
      </c>
    </row>
    <row r="567" spans="2:5" x14ac:dyDescent="0.25">
      <c r="B567" t="s">
        <v>465</v>
      </c>
      <c r="C567">
        <v>350</v>
      </c>
      <c r="D567">
        <v>-23.436250000000001</v>
      </c>
      <c r="E567">
        <v>-6.6960000000000006E-2</v>
      </c>
    </row>
    <row r="568" spans="2:5" x14ac:dyDescent="0.25">
      <c r="B568" t="s">
        <v>621</v>
      </c>
      <c r="C568">
        <v>39</v>
      </c>
      <c r="D568">
        <v>-2.6340499999999998</v>
      </c>
      <c r="E568">
        <v>-6.7540000000000003E-2</v>
      </c>
    </row>
    <row r="569" spans="2:5" x14ac:dyDescent="0.25">
      <c r="B569" t="s">
        <v>699</v>
      </c>
      <c r="C569">
        <v>46</v>
      </c>
      <c r="D569">
        <v>-3.13198</v>
      </c>
      <c r="E569">
        <v>-6.8089999999999998E-2</v>
      </c>
    </row>
    <row r="570" spans="2:5" x14ac:dyDescent="0.25">
      <c r="B570" t="s">
        <v>601</v>
      </c>
      <c r="C570">
        <v>257</v>
      </c>
      <c r="D570">
        <v>-17.50178</v>
      </c>
      <c r="E570">
        <v>-6.8099999999999994E-2</v>
      </c>
    </row>
    <row r="571" spans="2:5" x14ac:dyDescent="0.25">
      <c r="B571" t="s">
        <v>50</v>
      </c>
      <c r="C571">
        <v>220</v>
      </c>
      <c r="D571">
        <v>-15.033469999999999</v>
      </c>
      <c r="E571">
        <v>-6.8330000000000002E-2</v>
      </c>
    </row>
    <row r="572" spans="2:5" x14ac:dyDescent="0.25">
      <c r="B572" t="s">
        <v>107</v>
      </c>
      <c r="C572">
        <v>216</v>
      </c>
      <c r="D572">
        <v>-14.840870000000001</v>
      </c>
      <c r="E572">
        <v>-6.8709999999999993E-2</v>
      </c>
    </row>
    <row r="573" spans="2:5" x14ac:dyDescent="0.25">
      <c r="B573" t="s">
        <v>688</v>
      </c>
      <c r="C573">
        <v>149</v>
      </c>
      <c r="D573">
        <v>-10.249409999999999</v>
      </c>
      <c r="E573">
        <v>-6.8790000000000004E-2</v>
      </c>
    </row>
    <row r="574" spans="2:5" x14ac:dyDescent="0.25">
      <c r="B574" t="s">
        <v>162</v>
      </c>
      <c r="C574">
        <v>85</v>
      </c>
      <c r="D574">
        <v>-5.8482700000000003</v>
      </c>
      <c r="E574">
        <v>-6.88E-2</v>
      </c>
    </row>
    <row r="575" spans="2:5" x14ac:dyDescent="0.25">
      <c r="B575" t="s">
        <v>491</v>
      </c>
      <c r="C575">
        <v>23</v>
      </c>
      <c r="D575">
        <v>-1.5926</v>
      </c>
      <c r="E575">
        <v>-6.9239999999999996E-2</v>
      </c>
    </row>
    <row r="576" spans="2:5" x14ac:dyDescent="0.25">
      <c r="B576" t="s">
        <v>62</v>
      </c>
      <c r="C576">
        <v>220</v>
      </c>
      <c r="D576">
        <v>-15.27356</v>
      </c>
      <c r="E576">
        <v>-6.9430000000000006E-2</v>
      </c>
    </row>
    <row r="577" spans="2:5" x14ac:dyDescent="0.25">
      <c r="B577" t="s">
        <v>552</v>
      </c>
      <c r="C577">
        <v>63</v>
      </c>
      <c r="D577">
        <v>-4.4214000000000002</v>
      </c>
      <c r="E577">
        <v>-7.0180000000000006E-2</v>
      </c>
    </row>
    <row r="578" spans="2:5" x14ac:dyDescent="0.25">
      <c r="B578" t="s">
        <v>741</v>
      </c>
      <c r="C578">
        <v>46</v>
      </c>
      <c r="D578">
        <v>-3.2435800000000001</v>
      </c>
      <c r="E578">
        <v>-7.0510000000000003E-2</v>
      </c>
    </row>
    <row r="579" spans="2:5" x14ac:dyDescent="0.25">
      <c r="B579" t="s">
        <v>657</v>
      </c>
      <c r="C579">
        <v>162</v>
      </c>
      <c r="D579">
        <v>-11.441940000000001</v>
      </c>
      <c r="E579">
        <v>-7.0629999999999998E-2</v>
      </c>
    </row>
    <row r="580" spans="2:5" x14ac:dyDescent="0.25">
      <c r="B580" t="s">
        <v>447</v>
      </c>
      <c r="C580">
        <v>180</v>
      </c>
      <c r="D580">
        <v>-13.00848</v>
      </c>
      <c r="E580">
        <v>-7.2270000000000001E-2</v>
      </c>
    </row>
    <row r="581" spans="2:5" x14ac:dyDescent="0.25">
      <c r="B581" t="s">
        <v>48</v>
      </c>
      <c r="C581">
        <v>6</v>
      </c>
      <c r="D581">
        <v>-0.43835000000000002</v>
      </c>
      <c r="E581">
        <v>-7.306E-2</v>
      </c>
    </row>
    <row r="582" spans="2:5" x14ac:dyDescent="0.25">
      <c r="B582" t="s">
        <v>47</v>
      </c>
      <c r="C582">
        <v>190</v>
      </c>
      <c r="D582">
        <v>-13.9398</v>
      </c>
      <c r="E582">
        <v>-7.3370000000000005E-2</v>
      </c>
    </row>
    <row r="583" spans="2:5" x14ac:dyDescent="0.25">
      <c r="B583" t="s">
        <v>829</v>
      </c>
      <c r="C583">
        <v>4</v>
      </c>
      <c r="D583">
        <v>-0.29609000000000002</v>
      </c>
      <c r="E583">
        <v>-7.4020000000000002E-2</v>
      </c>
    </row>
    <row r="584" spans="2:5" x14ac:dyDescent="0.25">
      <c r="B584" t="s">
        <v>953</v>
      </c>
      <c r="C584">
        <v>4</v>
      </c>
      <c r="D584">
        <v>-0.29609000000000002</v>
      </c>
      <c r="E584">
        <v>-7.4020000000000002E-2</v>
      </c>
    </row>
    <row r="585" spans="2:5" x14ac:dyDescent="0.25">
      <c r="B585" t="s">
        <v>630</v>
      </c>
      <c r="C585">
        <v>53</v>
      </c>
      <c r="D585">
        <v>-3.9331900000000002</v>
      </c>
      <c r="E585">
        <v>-7.4209999999999998E-2</v>
      </c>
    </row>
    <row r="586" spans="2:5" x14ac:dyDescent="0.25">
      <c r="B586" t="s">
        <v>847</v>
      </c>
      <c r="C586">
        <v>9</v>
      </c>
      <c r="D586">
        <v>-0.67388000000000003</v>
      </c>
      <c r="E586">
        <v>-7.4880000000000002E-2</v>
      </c>
    </row>
    <row r="587" spans="2:5" x14ac:dyDescent="0.25">
      <c r="B587" t="s">
        <v>106</v>
      </c>
      <c r="C587">
        <v>312</v>
      </c>
      <c r="D587">
        <v>-23.425260000000002</v>
      </c>
      <c r="E587">
        <v>-7.5079999999999994E-2</v>
      </c>
    </row>
    <row r="588" spans="2:5" x14ac:dyDescent="0.25">
      <c r="B588" t="s">
        <v>466</v>
      </c>
      <c r="C588">
        <v>83</v>
      </c>
      <c r="D588">
        <v>-6.2899799999999999</v>
      </c>
      <c r="E588">
        <v>-7.578E-2</v>
      </c>
    </row>
    <row r="589" spans="2:5" x14ac:dyDescent="0.25">
      <c r="B589" t="s">
        <v>330</v>
      </c>
      <c r="C589">
        <v>225</v>
      </c>
      <c r="D589">
        <v>-17.06514</v>
      </c>
      <c r="E589">
        <v>-7.5850000000000001E-2</v>
      </c>
    </row>
    <row r="590" spans="2:5" x14ac:dyDescent="0.25">
      <c r="B590" t="s">
        <v>757</v>
      </c>
      <c r="C590">
        <v>45</v>
      </c>
      <c r="D590">
        <v>-3.4298999999999999</v>
      </c>
      <c r="E590">
        <v>-7.6219999999999996E-2</v>
      </c>
    </row>
    <row r="591" spans="2:5" x14ac:dyDescent="0.25">
      <c r="B591" t="s">
        <v>459</v>
      </c>
      <c r="C591">
        <v>43</v>
      </c>
      <c r="D591">
        <v>-3.3206500000000001</v>
      </c>
      <c r="E591">
        <v>-7.7219999999999997E-2</v>
      </c>
    </row>
    <row r="592" spans="2:5" x14ac:dyDescent="0.25">
      <c r="B592" t="s">
        <v>529</v>
      </c>
      <c r="C592">
        <v>89</v>
      </c>
      <c r="D592">
        <v>-6.9178199999999999</v>
      </c>
      <c r="E592">
        <v>-7.7729999999999994E-2</v>
      </c>
    </row>
    <row r="593" spans="2:5" x14ac:dyDescent="0.25">
      <c r="B593" t="s">
        <v>568</v>
      </c>
      <c r="C593">
        <v>87</v>
      </c>
      <c r="D593">
        <v>-6.7688499999999996</v>
      </c>
      <c r="E593">
        <v>-7.7799999999999994E-2</v>
      </c>
    </row>
    <row r="594" spans="2:5" x14ac:dyDescent="0.25">
      <c r="B594" t="s">
        <v>188</v>
      </c>
      <c r="C594">
        <v>139</v>
      </c>
      <c r="D594">
        <v>-10.86299</v>
      </c>
      <c r="E594">
        <v>-7.8149999999999997E-2</v>
      </c>
    </row>
    <row r="595" spans="2:5" x14ac:dyDescent="0.25">
      <c r="B595" t="s">
        <v>526</v>
      </c>
      <c r="C595">
        <v>68</v>
      </c>
      <c r="D595">
        <v>-5.3240499999999997</v>
      </c>
      <c r="E595">
        <v>-7.8289999999999998E-2</v>
      </c>
    </row>
    <row r="596" spans="2:5" x14ac:dyDescent="0.25">
      <c r="B596" t="s">
        <v>304</v>
      </c>
      <c r="C596">
        <v>133</v>
      </c>
      <c r="D596">
        <v>-10.44284</v>
      </c>
      <c r="E596">
        <v>-7.8520000000000006E-2</v>
      </c>
    </row>
    <row r="597" spans="2:5" x14ac:dyDescent="0.25">
      <c r="B597" t="s">
        <v>966</v>
      </c>
      <c r="C597">
        <v>18</v>
      </c>
      <c r="D597">
        <v>-1.41414</v>
      </c>
      <c r="E597">
        <v>-7.8560000000000005E-2</v>
      </c>
    </row>
    <row r="598" spans="2:5" x14ac:dyDescent="0.25">
      <c r="B598" t="s">
        <v>322</v>
      </c>
      <c r="C598">
        <v>278</v>
      </c>
      <c r="D598">
        <v>-21.918500000000002</v>
      </c>
      <c r="E598">
        <v>-7.8839999999999993E-2</v>
      </c>
    </row>
    <row r="599" spans="2:5" x14ac:dyDescent="0.25">
      <c r="B599" t="s">
        <v>754</v>
      </c>
      <c r="C599">
        <v>40</v>
      </c>
      <c r="D599">
        <v>-3.1682700000000001</v>
      </c>
      <c r="E599">
        <v>-7.9210000000000003E-2</v>
      </c>
    </row>
    <row r="600" spans="2:5" x14ac:dyDescent="0.25">
      <c r="B600" t="s">
        <v>462</v>
      </c>
      <c r="C600">
        <v>231</v>
      </c>
      <c r="D600">
        <v>-18.448340000000002</v>
      </c>
      <c r="E600">
        <v>-7.986E-2</v>
      </c>
    </row>
    <row r="601" spans="2:5" x14ac:dyDescent="0.25">
      <c r="B601" t="s">
        <v>408</v>
      </c>
      <c r="C601">
        <v>19</v>
      </c>
      <c r="D601">
        <v>-1.52634</v>
      </c>
      <c r="E601">
        <v>-8.0329999999999999E-2</v>
      </c>
    </row>
    <row r="602" spans="2:5" x14ac:dyDescent="0.25">
      <c r="B602" t="s">
        <v>698</v>
      </c>
      <c r="C602">
        <v>75</v>
      </c>
      <c r="D602">
        <v>-6.0790100000000002</v>
      </c>
      <c r="E602">
        <v>-8.1049999999999997E-2</v>
      </c>
    </row>
    <row r="603" spans="2:5" x14ac:dyDescent="0.25">
      <c r="B603" t="s">
        <v>665</v>
      </c>
      <c r="C603">
        <v>202</v>
      </c>
      <c r="D603">
        <v>-16.437519999999999</v>
      </c>
      <c r="E603">
        <v>-8.1369999999999998E-2</v>
      </c>
    </row>
    <row r="604" spans="2:5" x14ac:dyDescent="0.25">
      <c r="B604" t="s">
        <v>19</v>
      </c>
      <c r="C604">
        <v>21</v>
      </c>
      <c r="D604">
        <v>-1.71472</v>
      </c>
      <c r="E604">
        <v>-8.165E-2</v>
      </c>
    </row>
    <row r="605" spans="2:5" x14ac:dyDescent="0.25">
      <c r="B605" t="s">
        <v>238</v>
      </c>
      <c r="C605">
        <v>21</v>
      </c>
      <c r="D605">
        <v>-1.7163999999999999</v>
      </c>
      <c r="E605">
        <v>-8.1729999999999997E-2</v>
      </c>
    </row>
    <row r="606" spans="2:5" x14ac:dyDescent="0.25">
      <c r="B606" t="s">
        <v>612</v>
      </c>
      <c r="C606">
        <v>77</v>
      </c>
      <c r="D606">
        <v>-6.2972099999999998</v>
      </c>
      <c r="E606">
        <v>-8.1780000000000005E-2</v>
      </c>
    </row>
    <row r="607" spans="2:5" x14ac:dyDescent="0.25">
      <c r="B607" t="s">
        <v>22</v>
      </c>
      <c r="C607">
        <v>135</v>
      </c>
      <c r="D607">
        <v>-11.08503</v>
      </c>
      <c r="E607">
        <v>-8.2110000000000002E-2</v>
      </c>
    </row>
    <row r="608" spans="2:5" x14ac:dyDescent="0.25">
      <c r="B608" t="s">
        <v>713</v>
      </c>
      <c r="C608">
        <v>29</v>
      </c>
      <c r="D608">
        <v>-2.3836499999999998</v>
      </c>
      <c r="E608">
        <v>-8.2189999999999999E-2</v>
      </c>
    </row>
    <row r="609" spans="2:5" x14ac:dyDescent="0.25">
      <c r="B609" t="s">
        <v>791</v>
      </c>
      <c r="C609">
        <v>40</v>
      </c>
      <c r="D609">
        <v>-3.29251</v>
      </c>
      <c r="E609">
        <v>-8.2309999999999994E-2</v>
      </c>
    </row>
    <row r="610" spans="2:5" x14ac:dyDescent="0.25">
      <c r="B610" t="s">
        <v>835</v>
      </c>
      <c r="C610">
        <v>4</v>
      </c>
      <c r="D610">
        <v>-0.32999000000000001</v>
      </c>
      <c r="E610">
        <v>-8.2500000000000004E-2</v>
      </c>
    </row>
    <row r="611" spans="2:5" x14ac:dyDescent="0.25">
      <c r="B611" t="s">
        <v>391</v>
      </c>
      <c r="C611">
        <v>37</v>
      </c>
      <c r="D611">
        <v>-3.0770200000000001</v>
      </c>
      <c r="E611">
        <v>-8.3159999999999998E-2</v>
      </c>
    </row>
    <row r="612" spans="2:5" x14ac:dyDescent="0.25">
      <c r="B612" t="s">
        <v>701</v>
      </c>
      <c r="C612">
        <v>44</v>
      </c>
      <c r="D612">
        <v>-3.6668099999999999</v>
      </c>
      <c r="E612">
        <v>-8.3339999999999997E-2</v>
      </c>
    </row>
    <row r="613" spans="2:5" x14ac:dyDescent="0.25">
      <c r="B613" t="s">
        <v>728</v>
      </c>
      <c r="C613">
        <v>64</v>
      </c>
      <c r="D613">
        <v>-5.3380400000000003</v>
      </c>
      <c r="E613">
        <v>-8.3409999999999998E-2</v>
      </c>
    </row>
    <row r="614" spans="2:5" x14ac:dyDescent="0.25">
      <c r="B614" t="s">
        <v>378</v>
      </c>
      <c r="C614">
        <v>22</v>
      </c>
      <c r="D614">
        <v>-1.8427800000000001</v>
      </c>
      <c r="E614">
        <v>-8.3760000000000001E-2</v>
      </c>
    </row>
    <row r="615" spans="2:5" x14ac:dyDescent="0.25">
      <c r="B615" t="s">
        <v>831</v>
      </c>
      <c r="C615">
        <v>93</v>
      </c>
      <c r="D615">
        <v>-7.8331400000000002</v>
      </c>
      <c r="E615">
        <v>-8.4229999999999999E-2</v>
      </c>
    </row>
    <row r="616" spans="2:5" x14ac:dyDescent="0.25">
      <c r="B616" t="s">
        <v>327</v>
      </c>
      <c r="C616">
        <v>66</v>
      </c>
      <c r="D616">
        <v>-5.5934499999999998</v>
      </c>
      <c r="E616">
        <v>-8.4750000000000006E-2</v>
      </c>
    </row>
    <row r="617" spans="2:5" x14ac:dyDescent="0.25">
      <c r="B617" t="s">
        <v>734</v>
      </c>
      <c r="C617">
        <v>33</v>
      </c>
      <c r="D617">
        <v>-2.79962</v>
      </c>
      <c r="E617">
        <v>-8.4839999999999999E-2</v>
      </c>
    </row>
    <row r="618" spans="2:5" x14ac:dyDescent="0.25">
      <c r="B618" t="s">
        <v>424</v>
      </c>
      <c r="C618">
        <v>197</v>
      </c>
      <c r="D618">
        <v>-16.82987</v>
      </c>
      <c r="E618">
        <v>-8.5430000000000006E-2</v>
      </c>
    </row>
    <row r="619" spans="2:5" x14ac:dyDescent="0.25">
      <c r="B619" t="s">
        <v>131</v>
      </c>
      <c r="C619">
        <v>40</v>
      </c>
      <c r="D619">
        <v>-3.4593699999999998</v>
      </c>
      <c r="E619">
        <v>-8.6480000000000001E-2</v>
      </c>
    </row>
    <row r="620" spans="2:5" x14ac:dyDescent="0.25">
      <c r="B620" t="s">
        <v>819</v>
      </c>
      <c r="C620">
        <v>7</v>
      </c>
      <c r="D620">
        <v>-0.60562000000000005</v>
      </c>
      <c r="E620">
        <v>-8.652E-2</v>
      </c>
    </row>
    <row r="621" spans="2:5" x14ac:dyDescent="0.25">
      <c r="B621" t="s">
        <v>272</v>
      </c>
      <c r="C621">
        <v>156</v>
      </c>
      <c r="D621">
        <v>-13.516719999999999</v>
      </c>
      <c r="E621">
        <v>-8.6650000000000005E-2</v>
      </c>
    </row>
    <row r="622" spans="2:5" x14ac:dyDescent="0.25">
      <c r="B622" t="s">
        <v>617</v>
      </c>
      <c r="C622">
        <v>249</v>
      </c>
      <c r="D622">
        <v>-21.71819</v>
      </c>
      <c r="E622">
        <v>-8.7220000000000006E-2</v>
      </c>
    </row>
    <row r="623" spans="2:5" x14ac:dyDescent="0.25">
      <c r="B623" t="s">
        <v>1006</v>
      </c>
      <c r="C623">
        <v>9</v>
      </c>
      <c r="D623">
        <v>-0.78876000000000002</v>
      </c>
      <c r="E623">
        <v>-8.7639999999999996E-2</v>
      </c>
    </row>
    <row r="624" spans="2:5" x14ac:dyDescent="0.25">
      <c r="B624" t="s">
        <v>352</v>
      </c>
      <c r="C624">
        <v>39</v>
      </c>
      <c r="D624">
        <v>-3.4420999999999999</v>
      </c>
      <c r="E624">
        <v>-8.8260000000000005E-2</v>
      </c>
    </row>
    <row r="625" spans="2:5" x14ac:dyDescent="0.25">
      <c r="B625" t="s">
        <v>397</v>
      </c>
      <c r="C625">
        <v>83</v>
      </c>
      <c r="D625">
        <v>-7.3888800000000003</v>
      </c>
      <c r="E625">
        <v>-8.9020000000000002E-2</v>
      </c>
    </row>
    <row r="626" spans="2:5" x14ac:dyDescent="0.25">
      <c r="B626" t="s">
        <v>647</v>
      </c>
      <c r="C626">
        <v>104</v>
      </c>
      <c r="D626">
        <v>-9.2662800000000001</v>
      </c>
      <c r="E626">
        <v>-8.9099999999999999E-2</v>
      </c>
    </row>
    <row r="627" spans="2:5" x14ac:dyDescent="0.25">
      <c r="B627" t="s">
        <v>320</v>
      </c>
      <c r="C627">
        <v>50</v>
      </c>
      <c r="D627">
        <v>-4.4585800000000004</v>
      </c>
      <c r="E627">
        <v>-8.9169999999999999E-2</v>
      </c>
    </row>
    <row r="628" spans="2:5" x14ac:dyDescent="0.25">
      <c r="B628" t="s">
        <v>706</v>
      </c>
      <c r="C628">
        <v>44</v>
      </c>
      <c r="D628">
        <v>-3.9277199999999999</v>
      </c>
      <c r="E628">
        <v>-8.9270000000000002E-2</v>
      </c>
    </row>
    <row r="629" spans="2:5" x14ac:dyDescent="0.25">
      <c r="B629" t="s">
        <v>778</v>
      </c>
      <c r="C629">
        <v>5</v>
      </c>
      <c r="D629">
        <v>-0.44797999999999999</v>
      </c>
      <c r="E629">
        <v>-8.9599999999999999E-2</v>
      </c>
    </row>
    <row r="630" spans="2:5" x14ac:dyDescent="0.25">
      <c r="B630" t="s">
        <v>620</v>
      </c>
      <c r="C630">
        <v>107</v>
      </c>
      <c r="D630">
        <v>-9.6267200000000006</v>
      </c>
      <c r="E630">
        <v>-8.9969999999999994E-2</v>
      </c>
    </row>
    <row r="631" spans="2:5" x14ac:dyDescent="0.25">
      <c r="B631" t="s">
        <v>648</v>
      </c>
      <c r="C631">
        <v>5</v>
      </c>
      <c r="D631">
        <v>-0.45189000000000001</v>
      </c>
      <c r="E631">
        <v>-9.0380000000000002E-2</v>
      </c>
    </row>
    <row r="632" spans="2:5" x14ac:dyDescent="0.25">
      <c r="B632" t="s">
        <v>681</v>
      </c>
      <c r="C632">
        <v>184</v>
      </c>
      <c r="D632">
        <v>-16.805879999999998</v>
      </c>
      <c r="E632">
        <v>-9.1340000000000005E-2</v>
      </c>
    </row>
    <row r="633" spans="2:5" x14ac:dyDescent="0.25">
      <c r="B633" t="s">
        <v>727</v>
      </c>
      <c r="C633">
        <v>62</v>
      </c>
      <c r="D633">
        <v>-5.7172999999999998</v>
      </c>
      <c r="E633">
        <v>-9.221E-2</v>
      </c>
    </row>
    <row r="634" spans="2:5" x14ac:dyDescent="0.25">
      <c r="B634" t="s">
        <v>468</v>
      </c>
      <c r="C634">
        <v>70</v>
      </c>
      <c r="D634">
        <v>-6.5163099999999998</v>
      </c>
      <c r="E634">
        <v>-9.3090000000000006E-2</v>
      </c>
    </row>
    <row r="635" spans="2:5" x14ac:dyDescent="0.25">
      <c r="B635" t="s">
        <v>818</v>
      </c>
      <c r="C635">
        <v>37</v>
      </c>
      <c r="D635">
        <v>-3.4558599999999999</v>
      </c>
      <c r="E635">
        <v>-9.3399999999999997E-2</v>
      </c>
    </row>
    <row r="636" spans="2:5" x14ac:dyDescent="0.25">
      <c r="B636" t="s">
        <v>649</v>
      </c>
      <c r="C636">
        <v>94</v>
      </c>
      <c r="D636">
        <v>-8.8072300000000006</v>
      </c>
      <c r="E636">
        <v>-9.3689999999999996E-2</v>
      </c>
    </row>
    <row r="637" spans="2:5" x14ac:dyDescent="0.25">
      <c r="B637" t="s">
        <v>382</v>
      </c>
      <c r="C637">
        <v>185</v>
      </c>
      <c r="D637">
        <v>-17.35379</v>
      </c>
      <c r="E637">
        <v>-9.3799999999999994E-2</v>
      </c>
    </row>
    <row r="638" spans="2:5" x14ac:dyDescent="0.25">
      <c r="B638" t="s">
        <v>518</v>
      </c>
      <c r="C638">
        <v>39</v>
      </c>
      <c r="D638">
        <v>-3.6718700000000002</v>
      </c>
      <c r="E638">
        <v>-9.4149999999999998E-2</v>
      </c>
    </row>
    <row r="639" spans="2:5" x14ac:dyDescent="0.25">
      <c r="B639" t="s">
        <v>221</v>
      </c>
      <c r="C639">
        <v>8</v>
      </c>
      <c r="D639">
        <v>-0.75356999999999996</v>
      </c>
      <c r="E639">
        <v>-9.4200000000000006E-2</v>
      </c>
    </row>
    <row r="640" spans="2:5" x14ac:dyDescent="0.25">
      <c r="B640" t="s">
        <v>927</v>
      </c>
      <c r="C640">
        <v>56</v>
      </c>
      <c r="D640">
        <v>-5.2960599999999998</v>
      </c>
      <c r="E640">
        <v>-9.4570000000000001E-2</v>
      </c>
    </row>
    <row r="641" spans="2:5" x14ac:dyDescent="0.25">
      <c r="B641" t="s">
        <v>924</v>
      </c>
      <c r="C641">
        <v>12</v>
      </c>
      <c r="D641">
        <v>-1.1457900000000001</v>
      </c>
      <c r="E641">
        <v>-9.5479999999999995E-2</v>
      </c>
    </row>
    <row r="642" spans="2:5" x14ac:dyDescent="0.25">
      <c r="B642" t="s">
        <v>637</v>
      </c>
      <c r="C642">
        <v>7</v>
      </c>
      <c r="D642">
        <v>-0.66898999999999997</v>
      </c>
      <c r="E642">
        <v>-9.5570000000000002E-2</v>
      </c>
    </row>
    <row r="643" spans="2:5" x14ac:dyDescent="0.25">
      <c r="B643" t="s">
        <v>416</v>
      </c>
      <c r="C643">
        <v>428</v>
      </c>
      <c r="D643">
        <v>-41.0075</v>
      </c>
      <c r="E643">
        <v>-9.5810000000000006E-2</v>
      </c>
    </row>
    <row r="644" spans="2:5" x14ac:dyDescent="0.25">
      <c r="B644" t="s">
        <v>677</v>
      </c>
      <c r="C644">
        <v>105</v>
      </c>
      <c r="D644">
        <v>-10.14528</v>
      </c>
      <c r="E644">
        <v>-9.6619999999999998E-2</v>
      </c>
    </row>
    <row r="645" spans="2:5" x14ac:dyDescent="0.25">
      <c r="B645" t="s">
        <v>776</v>
      </c>
      <c r="C645">
        <v>65</v>
      </c>
      <c r="D645">
        <v>-6.2819200000000004</v>
      </c>
      <c r="E645">
        <v>-9.6640000000000004E-2</v>
      </c>
    </row>
    <row r="646" spans="2:5" x14ac:dyDescent="0.25">
      <c r="B646" t="s">
        <v>824</v>
      </c>
      <c r="C646">
        <v>8</v>
      </c>
      <c r="D646">
        <v>-0.77376999999999996</v>
      </c>
      <c r="E646">
        <v>-9.672E-2</v>
      </c>
    </row>
    <row r="647" spans="2:5" x14ac:dyDescent="0.25">
      <c r="B647" t="s">
        <v>852</v>
      </c>
      <c r="C647">
        <v>4</v>
      </c>
      <c r="D647">
        <v>-0.39062000000000002</v>
      </c>
      <c r="E647">
        <v>-9.7659999999999997E-2</v>
      </c>
    </row>
    <row r="648" spans="2:5" x14ac:dyDescent="0.25">
      <c r="B648" t="s">
        <v>218</v>
      </c>
      <c r="C648">
        <v>141</v>
      </c>
      <c r="D648">
        <v>-13.794230000000001</v>
      </c>
      <c r="E648">
        <v>-9.783E-2</v>
      </c>
    </row>
    <row r="649" spans="2:5" x14ac:dyDescent="0.25">
      <c r="B649" t="s">
        <v>981</v>
      </c>
      <c r="C649">
        <v>12</v>
      </c>
      <c r="D649">
        <v>-1.1815</v>
      </c>
      <c r="E649">
        <v>-9.8460000000000006E-2</v>
      </c>
    </row>
    <row r="650" spans="2:5" x14ac:dyDescent="0.25">
      <c r="B650" t="s">
        <v>974</v>
      </c>
      <c r="C650">
        <v>3</v>
      </c>
      <c r="D650">
        <v>-0.29604999999999998</v>
      </c>
      <c r="E650">
        <v>-9.8680000000000004E-2</v>
      </c>
    </row>
    <row r="651" spans="2:5" x14ac:dyDescent="0.25">
      <c r="B651" t="s">
        <v>137</v>
      </c>
      <c r="C651">
        <v>45</v>
      </c>
      <c r="D651">
        <v>-4.4511500000000002</v>
      </c>
      <c r="E651">
        <v>-9.8909999999999998E-2</v>
      </c>
    </row>
    <row r="652" spans="2:5" x14ac:dyDescent="0.25">
      <c r="B652" t="s">
        <v>670</v>
      </c>
      <c r="C652">
        <v>38</v>
      </c>
      <c r="D652">
        <v>-3.7634699999999999</v>
      </c>
      <c r="E652">
        <v>-9.9040000000000003E-2</v>
      </c>
    </row>
    <row r="653" spans="2:5" x14ac:dyDescent="0.25">
      <c r="B653" t="s">
        <v>309</v>
      </c>
      <c r="C653">
        <v>39</v>
      </c>
      <c r="D653">
        <v>-3.8670200000000001</v>
      </c>
      <c r="E653">
        <v>-9.9150000000000002E-2</v>
      </c>
    </row>
    <row r="654" spans="2:5" x14ac:dyDescent="0.25">
      <c r="B654" t="s">
        <v>556</v>
      </c>
      <c r="C654">
        <v>103</v>
      </c>
      <c r="D654">
        <v>-10.228899999999999</v>
      </c>
      <c r="E654">
        <v>-9.9309999999999996E-2</v>
      </c>
    </row>
    <row r="655" spans="2:5" x14ac:dyDescent="0.25">
      <c r="B655" t="s">
        <v>332</v>
      </c>
      <c r="C655">
        <v>220</v>
      </c>
      <c r="D655">
        <v>-21.907340000000001</v>
      </c>
      <c r="E655">
        <v>-9.9580000000000002E-2</v>
      </c>
    </row>
    <row r="656" spans="2:5" x14ac:dyDescent="0.25">
      <c r="B656" t="s">
        <v>202</v>
      </c>
      <c r="C656">
        <v>148</v>
      </c>
      <c r="D656">
        <v>-14.76679</v>
      </c>
      <c r="E656">
        <v>-9.9779999999999994E-2</v>
      </c>
    </row>
    <row r="657" spans="2:5" x14ac:dyDescent="0.25">
      <c r="B657" t="s">
        <v>478</v>
      </c>
      <c r="C657">
        <v>7</v>
      </c>
      <c r="D657">
        <v>-0.70413000000000003</v>
      </c>
      <c r="E657">
        <v>-0.10059</v>
      </c>
    </row>
    <row r="658" spans="2:5" x14ac:dyDescent="0.25">
      <c r="B658" t="s">
        <v>530</v>
      </c>
      <c r="C658">
        <v>159</v>
      </c>
      <c r="D658">
        <v>-16.038640000000001</v>
      </c>
      <c r="E658">
        <v>-0.10087</v>
      </c>
    </row>
    <row r="659" spans="2:5" x14ac:dyDescent="0.25">
      <c r="B659" t="s">
        <v>661</v>
      </c>
      <c r="C659">
        <v>98</v>
      </c>
      <c r="D659">
        <v>-9.8991900000000008</v>
      </c>
      <c r="E659">
        <v>-0.10101</v>
      </c>
    </row>
    <row r="660" spans="2:5" x14ac:dyDescent="0.25">
      <c r="B660" t="s">
        <v>775</v>
      </c>
      <c r="C660">
        <v>8</v>
      </c>
      <c r="D660">
        <v>-0.81088000000000005</v>
      </c>
      <c r="E660">
        <v>-0.10136000000000001</v>
      </c>
    </row>
    <row r="661" spans="2:5" x14ac:dyDescent="0.25">
      <c r="B661" t="s">
        <v>863</v>
      </c>
      <c r="C661">
        <v>4</v>
      </c>
      <c r="D661">
        <v>-0.41039999999999999</v>
      </c>
      <c r="E661">
        <v>-0.1026</v>
      </c>
    </row>
    <row r="662" spans="2:5" x14ac:dyDescent="0.25">
      <c r="B662" t="s">
        <v>971</v>
      </c>
      <c r="C662">
        <v>12</v>
      </c>
      <c r="D662">
        <v>-1.2580499999999999</v>
      </c>
      <c r="E662">
        <v>-0.10484</v>
      </c>
    </row>
    <row r="663" spans="2:5" x14ac:dyDescent="0.25">
      <c r="B663" t="s">
        <v>574</v>
      </c>
      <c r="C663">
        <v>106</v>
      </c>
      <c r="D663">
        <v>-11.151260000000001</v>
      </c>
      <c r="E663">
        <v>-0.1052</v>
      </c>
    </row>
    <row r="664" spans="2:5" x14ac:dyDescent="0.25">
      <c r="B664" t="s">
        <v>597</v>
      </c>
      <c r="C664">
        <v>1</v>
      </c>
      <c r="D664">
        <v>-0.10599</v>
      </c>
      <c r="E664">
        <v>-0.10599</v>
      </c>
    </row>
    <row r="665" spans="2:5" x14ac:dyDescent="0.25">
      <c r="B665" t="s">
        <v>599</v>
      </c>
      <c r="C665">
        <v>2</v>
      </c>
      <c r="D665">
        <v>-0.21198</v>
      </c>
      <c r="E665">
        <v>-0.10599</v>
      </c>
    </row>
    <row r="666" spans="2:5" x14ac:dyDescent="0.25">
      <c r="B666" t="s">
        <v>609</v>
      </c>
      <c r="C666">
        <v>1</v>
      </c>
      <c r="D666">
        <v>-0.10599</v>
      </c>
      <c r="E666">
        <v>-0.10599</v>
      </c>
    </row>
    <row r="667" spans="2:5" x14ac:dyDescent="0.25">
      <c r="B667" t="s">
        <v>631</v>
      </c>
      <c r="C667">
        <v>1</v>
      </c>
      <c r="D667">
        <v>-0.10599</v>
      </c>
      <c r="E667">
        <v>-0.10599</v>
      </c>
    </row>
    <row r="668" spans="2:5" x14ac:dyDescent="0.25">
      <c r="B668" t="s">
        <v>812</v>
      </c>
      <c r="C668">
        <v>1</v>
      </c>
      <c r="D668">
        <v>-0.10599</v>
      </c>
      <c r="E668">
        <v>-0.10599</v>
      </c>
    </row>
    <row r="669" spans="2:5" x14ac:dyDescent="0.25">
      <c r="B669" t="s">
        <v>817</v>
      </c>
      <c r="C669">
        <v>1</v>
      </c>
      <c r="D669">
        <v>-0.10599</v>
      </c>
      <c r="E669">
        <v>-0.10599</v>
      </c>
    </row>
    <row r="670" spans="2:5" x14ac:dyDescent="0.25">
      <c r="B670" t="s">
        <v>823</v>
      </c>
      <c r="C670">
        <v>1</v>
      </c>
      <c r="D670">
        <v>-0.10599</v>
      </c>
      <c r="E670">
        <v>-0.10599</v>
      </c>
    </row>
    <row r="671" spans="2:5" x14ac:dyDescent="0.25">
      <c r="B671" t="s">
        <v>839</v>
      </c>
      <c r="C671">
        <v>1</v>
      </c>
      <c r="D671">
        <v>-0.10599</v>
      </c>
      <c r="E671">
        <v>-0.10599</v>
      </c>
    </row>
    <row r="672" spans="2:5" x14ac:dyDescent="0.25">
      <c r="B672" t="s">
        <v>846</v>
      </c>
      <c r="C672">
        <v>1</v>
      </c>
      <c r="D672">
        <v>-0.10599</v>
      </c>
      <c r="E672">
        <v>-0.10599</v>
      </c>
    </row>
    <row r="673" spans="2:5" x14ac:dyDescent="0.25">
      <c r="B673" t="s">
        <v>857</v>
      </c>
      <c r="C673">
        <v>1</v>
      </c>
      <c r="D673">
        <v>-0.10599</v>
      </c>
      <c r="E673">
        <v>-0.10599</v>
      </c>
    </row>
    <row r="674" spans="2:5" x14ac:dyDescent="0.25">
      <c r="B674" t="s">
        <v>869</v>
      </c>
      <c r="C674">
        <v>1</v>
      </c>
      <c r="D674">
        <v>-0.10599</v>
      </c>
      <c r="E674">
        <v>-0.10599</v>
      </c>
    </row>
    <row r="675" spans="2:5" x14ac:dyDescent="0.25">
      <c r="B675" t="s">
        <v>896</v>
      </c>
      <c r="C675">
        <v>1</v>
      </c>
      <c r="D675">
        <v>-0.10599</v>
      </c>
      <c r="E675">
        <v>-0.10599</v>
      </c>
    </row>
    <row r="676" spans="2:5" x14ac:dyDescent="0.25">
      <c r="B676" t="s">
        <v>903</v>
      </c>
      <c r="C676">
        <v>2</v>
      </c>
      <c r="D676">
        <v>-0.21198</v>
      </c>
      <c r="E676">
        <v>-0.10599</v>
      </c>
    </row>
    <row r="677" spans="2:5" x14ac:dyDescent="0.25">
      <c r="B677" t="s">
        <v>944</v>
      </c>
      <c r="C677">
        <v>1</v>
      </c>
      <c r="D677">
        <v>-0.10599</v>
      </c>
      <c r="E677">
        <v>-0.10599</v>
      </c>
    </row>
    <row r="678" spans="2:5" x14ac:dyDescent="0.25">
      <c r="B678" t="s">
        <v>955</v>
      </c>
      <c r="C678">
        <v>1</v>
      </c>
      <c r="D678">
        <v>-0.10599</v>
      </c>
      <c r="E678">
        <v>-0.10599</v>
      </c>
    </row>
    <row r="679" spans="2:5" x14ac:dyDescent="0.25">
      <c r="B679" t="s">
        <v>979</v>
      </c>
      <c r="C679">
        <v>1</v>
      </c>
      <c r="D679">
        <v>-0.10599</v>
      </c>
      <c r="E679">
        <v>-0.10599</v>
      </c>
    </row>
    <row r="680" spans="2:5" x14ac:dyDescent="0.25">
      <c r="B680" t="s">
        <v>992</v>
      </c>
      <c r="C680">
        <v>1</v>
      </c>
      <c r="D680">
        <v>-0.10599</v>
      </c>
      <c r="E680">
        <v>-0.10599</v>
      </c>
    </row>
    <row r="681" spans="2:5" x14ac:dyDescent="0.25">
      <c r="B681" t="s">
        <v>995</v>
      </c>
      <c r="C681">
        <v>1</v>
      </c>
      <c r="D681">
        <v>-0.10599</v>
      </c>
      <c r="E681">
        <v>-0.10599</v>
      </c>
    </row>
    <row r="682" spans="2:5" x14ac:dyDescent="0.25">
      <c r="B682" t="s">
        <v>997</v>
      </c>
      <c r="C682">
        <v>1</v>
      </c>
      <c r="D682">
        <v>-0.10599</v>
      </c>
      <c r="E682">
        <v>-0.10599</v>
      </c>
    </row>
    <row r="683" spans="2:5" x14ac:dyDescent="0.25">
      <c r="B683" t="s">
        <v>998</v>
      </c>
      <c r="C683">
        <v>1</v>
      </c>
      <c r="D683">
        <v>-0.10599</v>
      </c>
      <c r="E683">
        <v>-0.10599</v>
      </c>
    </row>
    <row r="684" spans="2:5" x14ac:dyDescent="0.25">
      <c r="B684" t="s">
        <v>1003</v>
      </c>
      <c r="C684">
        <v>1</v>
      </c>
      <c r="D684">
        <v>-0.10599</v>
      </c>
      <c r="E684">
        <v>-0.10599</v>
      </c>
    </row>
    <row r="685" spans="2:5" x14ac:dyDescent="0.25">
      <c r="B685" t="s">
        <v>1020</v>
      </c>
      <c r="C685">
        <v>1</v>
      </c>
      <c r="D685">
        <v>-0.10599</v>
      </c>
      <c r="E685">
        <v>-0.10599</v>
      </c>
    </row>
    <row r="686" spans="2:5" x14ac:dyDescent="0.25">
      <c r="B686" t="s">
        <v>1024</v>
      </c>
      <c r="C686">
        <v>1</v>
      </c>
      <c r="D686">
        <v>-0.10599</v>
      </c>
      <c r="E686">
        <v>-0.10599</v>
      </c>
    </row>
    <row r="687" spans="2:5" x14ac:dyDescent="0.25">
      <c r="B687" t="s">
        <v>1032</v>
      </c>
      <c r="C687">
        <v>1</v>
      </c>
      <c r="D687">
        <v>-0.10599</v>
      </c>
      <c r="E687">
        <v>-0.10599</v>
      </c>
    </row>
    <row r="688" spans="2:5" x14ac:dyDescent="0.25">
      <c r="B688" t="s">
        <v>1039</v>
      </c>
      <c r="C688">
        <v>1</v>
      </c>
      <c r="D688">
        <v>-0.10599</v>
      </c>
      <c r="E688">
        <v>-0.10599</v>
      </c>
    </row>
    <row r="689" spans="2:5" x14ac:dyDescent="0.25">
      <c r="B689" t="s">
        <v>1043</v>
      </c>
      <c r="C689">
        <v>1</v>
      </c>
      <c r="D689">
        <v>-0.10599</v>
      </c>
      <c r="E689">
        <v>-0.10599</v>
      </c>
    </row>
    <row r="690" spans="2:5" x14ac:dyDescent="0.25">
      <c r="B690" t="s">
        <v>1045</v>
      </c>
      <c r="C690">
        <v>1</v>
      </c>
      <c r="D690">
        <v>-0.10599</v>
      </c>
      <c r="E690">
        <v>-0.10599</v>
      </c>
    </row>
    <row r="691" spans="2:5" x14ac:dyDescent="0.25">
      <c r="B691" t="s">
        <v>579</v>
      </c>
      <c r="C691">
        <v>7</v>
      </c>
      <c r="D691">
        <v>-0.74448000000000003</v>
      </c>
      <c r="E691">
        <v>-0.10635</v>
      </c>
    </row>
    <row r="692" spans="2:5" x14ac:dyDescent="0.25">
      <c r="B692" t="s">
        <v>563</v>
      </c>
      <c r="C692">
        <v>54</v>
      </c>
      <c r="D692">
        <v>-5.7657600000000002</v>
      </c>
      <c r="E692">
        <v>-0.10677</v>
      </c>
    </row>
    <row r="693" spans="2:5" x14ac:dyDescent="0.25">
      <c r="B693" t="s">
        <v>37</v>
      </c>
      <c r="C693">
        <v>117</v>
      </c>
      <c r="D693">
        <v>-12.624969999999999</v>
      </c>
      <c r="E693">
        <v>-0.10791000000000001</v>
      </c>
    </row>
    <row r="694" spans="2:5" x14ac:dyDescent="0.25">
      <c r="B694" t="s">
        <v>646</v>
      </c>
      <c r="C694">
        <v>83</v>
      </c>
      <c r="D694">
        <v>-8.9744899999999994</v>
      </c>
      <c r="E694">
        <v>-0.10813</v>
      </c>
    </row>
    <row r="695" spans="2:5" x14ac:dyDescent="0.25">
      <c r="B695" t="s">
        <v>792</v>
      </c>
      <c r="C695">
        <v>11</v>
      </c>
      <c r="D695">
        <v>-1.19929</v>
      </c>
      <c r="E695">
        <v>-0.10903</v>
      </c>
    </row>
    <row r="696" spans="2:5" x14ac:dyDescent="0.25">
      <c r="B696" t="s">
        <v>868</v>
      </c>
      <c r="C696">
        <v>4</v>
      </c>
      <c r="D696">
        <v>-0.43769999999999998</v>
      </c>
      <c r="E696">
        <v>-0.10942</v>
      </c>
    </row>
    <row r="697" spans="2:5" x14ac:dyDescent="0.25">
      <c r="B697" t="s">
        <v>545</v>
      </c>
      <c r="C697">
        <v>28</v>
      </c>
      <c r="D697">
        <v>-3.0891999999999999</v>
      </c>
      <c r="E697">
        <v>-0.11033</v>
      </c>
    </row>
    <row r="698" spans="2:5" x14ac:dyDescent="0.25">
      <c r="B698" t="s">
        <v>306</v>
      </c>
      <c r="C698">
        <v>20</v>
      </c>
      <c r="D698">
        <v>-2.2314600000000002</v>
      </c>
      <c r="E698">
        <v>-0.11157</v>
      </c>
    </row>
    <row r="699" spans="2:5" x14ac:dyDescent="0.25">
      <c r="B699" t="s">
        <v>659</v>
      </c>
      <c r="C699">
        <v>76</v>
      </c>
      <c r="D699">
        <v>-8.7748600000000003</v>
      </c>
      <c r="E699">
        <v>-0.11545999999999999</v>
      </c>
    </row>
    <row r="700" spans="2:5" x14ac:dyDescent="0.25">
      <c r="B700" t="s">
        <v>403</v>
      </c>
      <c r="C700">
        <v>36</v>
      </c>
      <c r="D700">
        <v>-4.2305000000000001</v>
      </c>
      <c r="E700">
        <v>-0.11751</v>
      </c>
    </row>
    <row r="701" spans="2:5" x14ac:dyDescent="0.25">
      <c r="B701" t="s">
        <v>63</v>
      </c>
      <c r="C701">
        <v>185</v>
      </c>
      <c r="D701">
        <v>-22.310369999999999</v>
      </c>
      <c r="E701">
        <v>-0.1206</v>
      </c>
    </row>
    <row r="702" spans="2:5" x14ac:dyDescent="0.25">
      <c r="B702" t="s">
        <v>958</v>
      </c>
      <c r="C702">
        <v>5</v>
      </c>
      <c r="D702">
        <v>-0.61168999999999996</v>
      </c>
      <c r="E702">
        <v>-0.12234</v>
      </c>
    </row>
    <row r="703" spans="2:5" x14ac:dyDescent="0.25">
      <c r="B703" t="s">
        <v>664</v>
      </c>
      <c r="C703">
        <v>62</v>
      </c>
      <c r="D703">
        <v>-7.6335600000000001</v>
      </c>
      <c r="E703">
        <v>-0.12311999999999999</v>
      </c>
    </row>
    <row r="704" spans="2:5" x14ac:dyDescent="0.25">
      <c r="B704" t="s">
        <v>493</v>
      </c>
      <c r="C704">
        <v>73</v>
      </c>
      <c r="D704">
        <v>-9.0010600000000007</v>
      </c>
      <c r="E704">
        <v>-0.12330000000000001</v>
      </c>
    </row>
    <row r="705" spans="2:5" x14ac:dyDescent="0.25">
      <c r="B705" t="s">
        <v>1013</v>
      </c>
      <c r="C705">
        <v>5</v>
      </c>
      <c r="D705">
        <v>-0.62109999999999999</v>
      </c>
      <c r="E705">
        <v>-0.12422</v>
      </c>
    </row>
    <row r="706" spans="2:5" x14ac:dyDescent="0.25">
      <c r="B706" t="s">
        <v>954</v>
      </c>
      <c r="C706">
        <v>39</v>
      </c>
      <c r="D706">
        <v>-4.8687100000000001</v>
      </c>
      <c r="E706">
        <v>-0.12484000000000001</v>
      </c>
    </row>
    <row r="707" spans="2:5" x14ac:dyDescent="0.25">
      <c r="B707" t="s">
        <v>581</v>
      </c>
      <c r="C707">
        <v>51</v>
      </c>
      <c r="D707">
        <v>-6.3920899999999996</v>
      </c>
      <c r="E707">
        <v>-0.12534000000000001</v>
      </c>
    </row>
    <row r="708" spans="2:5" x14ac:dyDescent="0.25">
      <c r="B708" t="s">
        <v>283</v>
      </c>
      <c r="C708">
        <v>18</v>
      </c>
      <c r="D708">
        <v>-2.2829799999999998</v>
      </c>
      <c r="E708">
        <v>-0.12683</v>
      </c>
    </row>
    <row r="709" spans="2:5" x14ac:dyDescent="0.25">
      <c r="B709" t="s">
        <v>931</v>
      </c>
      <c r="C709">
        <v>19</v>
      </c>
      <c r="D709">
        <v>-2.4299900000000001</v>
      </c>
      <c r="E709">
        <v>-0.12789</v>
      </c>
    </row>
    <row r="710" spans="2:5" x14ac:dyDescent="0.25">
      <c r="B710" t="s">
        <v>293</v>
      </c>
      <c r="C710">
        <v>52</v>
      </c>
      <c r="D710">
        <v>-6.6828900000000004</v>
      </c>
      <c r="E710">
        <v>-0.12852</v>
      </c>
    </row>
    <row r="711" spans="2:5" x14ac:dyDescent="0.25">
      <c r="B711" t="s">
        <v>88</v>
      </c>
      <c r="C711">
        <v>36</v>
      </c>
      <c r="D711">
        <v>-4.6390799999999999</v>
      </c>
      <c r="E711">
        <v>-0.12886</v>
      </c>
    </row>
    <row r="712" spans="2:5" x14ac:dyDescent="0.25">
      <c r="B712" t="s">
        <v>543</v>
      </c>
      <c r="C712">
        <v>30</v>
      </c>
      <c r="D712">
        <v>-3.8929200000000002</v>
      </c>
      <c r="E712">
        <v>-0.12975999999999999</v>
      </c>
    </row>
    <row r="713" spans="2:5" x14ac:dyDescent="0.25">
      <c r="B713" t="s">
        <v>766</v>
      </c>
      <c r="C713">
        <v>50</v>
      </c>
      <c r="D713">
        <v>-6.59518</v>
      </c>
      <c r="E713">
        <v>-0.13189999999999999</v>
      </c>
    </row>
    <row r="714" spans="2:5" x14ac:dyDescent="0.25">
      <c r="B714" t="s">
        <v>626</v>
      </c>
      <c r="C714">
        <v>59</v>
      </c>
      <c r="D714">
        <v>-7.8044900000000004</v>
      </c>
      <c r="E714">
        <v>-0.13228000000000001</v>
      </c>
    </row>
    <row r="715" spans="2:5" x14ac:dyDescent="0.25">
      <c r="B715" t="s">
        <v>803</v>
      </c>
      <c r="C715">
        <v>4</v>
      </c>
      <c r="D715">
        <v>-0.53481000000000001</v>
      </c>
      <c r="E715">
        <v>-0.13370000000000001</v>
      </c>
    </row>
    <row r="716" spans="2:5" x14ac:dyDescent="0.25">
      <c r="B716" t="s">
        <v>183</v>
      </c>
      <c r="C716">
        <v>96</v>
      </c>
      <c r="D716">
        <v>-12.94685</v>
      </c>
      <c r="E716">
        <v>-0.13486000000000001</v>
      </c>
    </row>
    <row r="717" spans="2:5" x14ac:dyDescent="0.25">
      <c r="B717" t="s">
        <v>359</v>
      </c>
      <c r="C717">
        <v>62</v>
      </c>
      <c r="D717">
        <v>-8.3719900000000003</v>
      </c>
      <c r="E717">
        <v>-0.13503000000000001</v>
      </c>
    </row>
    <row r="718" spans="2:5" x14ac:dyDescent="0.25">
      <c r="B718" t="s">
        <v>890</v>
      </c>
      <c r="C718">
        <v>2</v>
      </c>
      <c r="D718">
        <v>-0.27081</v>
      </c>
      <c r="E718">
        <v>-0.13541</v>
      </c>
    </row>
    <row r="719" spans="2:5" x14ac:dyDescent="0.25">
      <c r="B719" t="s">
        <v>918</v>
      </c>
      <c r="C719">
        <v>2</v>
      </c>
      <c r="D719">
        <v>-0.27081</v>
      </c>
      <c r="E719">
        <v>-0.13541</v>
      </c>
    </row>
    <row r="720" spans="2:5" x14ac:dyDescent="0.25">
      <c r="B720" t="s">
        <v>1017</v>
      </c>
      <c r="C720">
        <v>2</v>
      </c>
      <c r="D720">
        <v>-0.27081</v>
      </c>
      <c r="E720">
        <v>-0.13541</v>
      </c>
    </row>
    <row r="721" spans="2:5" x14ac:dyDescent="0.25">
      <c r="B721" t="s">
        <v>946</v>
      </c>
      <c r="C721">
        <v>11</v>
      </c>
      <c r="D721">
        <v>-1.49803</v>
      </c>
      <c r="E721">
        <v>-0.13618</v>
      </c>
    </row>
    <row r="722" spans="2:5" x14ac:dyDescent="0.25">
      <c r="B722" t="s">
        <v>407</v>
      </c>
      <c r="C722">
        <v>82</v>
      </c>
      <c r="D722">
        <v>-11.22926</v>
      </c>
      <c r="E722">
        <v>-0.13694000000000001</v>
      </c>
    </row>
    <row r="723" spans="2:5" x14ac:dyDescent="0.25">
      <c r="B723" t="s">
        <v>650</v>
      </c>
      <c r="C723">
        <v>37</v>
      </c>
      <c r="D723">
        <v>-5.0808499999999999</v>
      </c>
      <c r="E723">
        <v>-0.13732</v>
      </c>
    </row>
    <row r="724" spans="2:5" x14ac:dyDescent="0.25">
      <c r="B724" t="s">
        <v>336</v>
      </c>
      <c r="C724">
        <v>17</v>
      </c>
      <c r="D724">
        <v>-2.33867</v>
      </c>
      <c r="E724">
        <v>-0.13757</v>
      </c>
    </row>
    <row r="725" spans="2:5" x14ac:dyDescent="0.25">
      <c r="B725" t="s">
        <v>761</v>
      </c>
      <c r="C725">
        <v>24</v>
      </c>
      <c r="D725">
        <v>-3.3029099999999998</v>
      </c>
      <c r="E725">
        <v>-0.13761999999999999</v>
      </c>
    </row>
    <row r="726" spans="2:5" x14ac:dyDescent="0.25">
      <c r="B726" t="s">
        <v>853</v>
      </c>
      <c r="C726">
        <v>37</v>
      </c>
      <c r="D726">
        <v>-5.09178</v>
      </c>
      <c r="E726">
        <v>-0.13761999999999999</v>
      </c>
    </row>
    <row r="727" spans="2:5" x14ac:dyDescent="0.25">
      <c r="B727" t="s">
        <v>684</v>
      </c>
      <c r="C727">
        <v>72</v>
      </c>
      <c r="D727">
        <v>-9.9737200000000001</v>
      </c>
      <c r="E727">
        <v>-0.13852</v>
      </c>
    </row>
    <row r="728" spans="2:5" x14ac:dyDescent="0.25">
      <c r="B728" t="s">
        <v>527</v>
      </c>
      <c r="C728">
        <v>21</v>
      </c>
      <c r="D728">
        <v>-2.9144899999999998</v>
      </c>
      <c r="E728">
        <v>-0.13879</v>
      </c>
    </row>
    <row r="729" spans="2:5" x14ac:dyDescent="0.25">
      <c r="B729" t="s">
        <v>436</v>
      </c>
      <c r="C729">
        <v>34</v>
      </c>
      <c r="D729">
        <v>-4.7267599999999996</v>
      </c>
      <c r="E729">
        <v>-0.13902</v>
      </c>
    </row>
    <row r="730" spans="2:5" x14ac:dyDescent="0.25">
      <c r="B730" t="s">
        <v>763</v>
      </c>
      <c r="C730">
        <v>34</v>
      </c>
      <c r="D730">
        <v>-4.7356199999999999</v>
      </c>
      <c r="E730">
        <v>-0.13927999999999999</v>
      </c>
    </row>
    <row r="731" spans="2:5" x14ac:dyDescent="0.25">
      <c r="B731" t="s">
        <v>396</v>
      </c>
      <c r="C731">
        <v>58</v>
      </c>
      <c r="D731">
        <v>-8.0840499999999995</v>
      </c>
      <c r="E731">
        <v>-0.13938</v>
      </c>
    </row>
    <row r="732" spans="2:5" x14ac:dyDescent="0.25">
      <c r="B732" t="s">
        <v>135</v>
      </c>
      <c r="C732">
        <v>66</v>
      </c>
      <c r="D732">
        <v>-9.2084600000000005</v>
      </c>
      <c r="E732">
        <v>-0.13952000000000001</v>
      </c>
    </row>
    <row r="733" spans="2:5" x14ac:dyDescent="0.25">
      <c r="B733" t="s">
        <v>875</v>
      </c>
      <c r="C733">
        <v>72</v>
      </c>
      <c r="D733">
        <v>-10.051920000000001</v>
      </c>
      <c r="E733">
        <v>-0.13961000000000001</v>
      </c>
    </row>
    <row r="734" spans="2:5" x14ac:dyDescent="0.25">
      <c r="B734" t="s">
        <v>771</v>
      </c>
      <c r="C734">
        <v>13</v>
      </c>
      <c r="D734">
        <v>-1.8200499999999999</v>
      </c>
      <c r="E734">
        <v>-0.14000000000000001</v>
      </c>
    </row>
    <row r="735" spans="2:5" x14ac:dyDescent="0.25">
      <c r="B735" t="s">
        <v>892</v>
      </c>
      <c r="C735">
        <v>11</v>
      </c>
      <c r="D735">
        <v>-1.5411600000000001</v>
      </c>
      <c r="E735">
        <v>-0.14011000000000001</v>
      </c>
    </row>
    <row r="736" spans="2:5" x14ac:dyDescent="0.25">
      <c r="B736" t="s">
        <v>398</v>
      </c>
      <c r="C736">
        <v>6</v>
      </c>
      <c r="D736">
        <v>-0.84111999999999998</v>
      </c>
      <c r="E736">
        <v>-0.14019000000000001</v>
      </c>
    </row>
    <row r="737" spans="2:5" x14ac:dyDescent="0.25">
      <c r="B737" t="s">
        <v>91</v>
      </c>
      <c r="C737">
        <v>5</v>
      </c>
      <c r="D737">
        <v>-0.70108999999999999</v>
      </c>
      <c r="E737">
        <v>-0.14022000000000001</v>
      </c>
    </row>
    <row r="738" spans="2:5" x14ac:dyDescent="0.25">
      <c r="B738" t="s">
        <v>1041</v>
      </c>
      <c r="C738">
        <v>4</v>
      </c>
      <c r="D738">
        <v>-0.56532000000000004</v>
      </c>
      <c r="E738">
        <v>-0.14133000000000001</v>
      </c>
    </row>
    <row r="739" spans="2:5" x14ac:dyDescent="0.25">
      <c r="B739" t="s">
        <v>317</v>
      </c>
      <c r="C739">
        <v>40</v>
      </c>
      <c r="D739">
        <v>-5.6622899999999996</v>
      </c>
      <c r="E739">
        <v>-0.14155999999999999</v>
      </c>
    </row>
    <row r="740" spans="2:5" x14ac:dyDescent="0.25">
      <c r="B740" t="s">
        <v>608</v>
      </c>
      <c r="C740">
        <v>26</v>
      </c>
      <c r="D740">
        <v>-3.6915399999999998</v>
      </c>
      <c r="E740">
        <v>-0.14198</v>
      </c>
    </row>
    <row r="741" spans="2:5" x14ac:dyDescent="0.25">
      <c r="B741" t="s">
        <v>709</v>
      </c>
      <c r="C741">
        <v>16</v>
      </c>
      <c r="D741">
        <v>-2.2768099999999998</v>
      </c>
      <c r="E741">
        <v>-0.14230000000000001</v>
      </c>
    </row>
    <row r="742" spans="2:5" x14ac:dyDescent="0.25">
      <c r="B742" t="s">
        <v>375</v>
      </c>
      <c r="C742">
        <v>3</v>
      </c>
      <c r="D742">
        <v>-0.43125999999999998</v>
      </c>
      <c r="E742">
        <v>-0.14374999999999999</v>
      </c>
    </row>
    <row r="743" spans="2:5" x14ac:dyDescent="0.25">
      <c r="B743" t="s">
        <v>443</v>
      </c>
      <c r="C743">
        <v>61</v>
      </c>
      <c r="D743">
        <v>-8.8801799999999993</v>
      </c>
      <c r="E743">
        <v>-0.14557999999999999</v>
      </c>
    </row>
    <row r="744" spans="2:5" x14ac:dyDescent="0.25">
      <c r="B744" t="s">
        <v>176</v>
      </c>
      <c r="C744">
        <v>4</v>
      </c>
      <c r="D744">
        <v>-0.58616999999999997</v>
      </c>
      <c r="E744">
        <v>-0.14654</v>
      </c>
    </row>
    <row r="745" spans="2:5" x14ac:dyDescent="0.25">
      <c r="B745" t="s">
        <v>893</v>
      </c>
      <c r="C745">
        <v>4</v>
      </c>
      <c r="D745">
        <v>-0.59157000000000004</v>
      </c>
      <c r="E745">
        <v>-0.14788999999999999</v>
      </c>
    </row>
    <row r="746" spans="2:5" x14ac:dyDescent="0.25">
      <c r="B746" t="s">
        <v>881</v>
      </c>
      <c r="C746">
        <v>48</v>
      </c>
      <c r="D746">
        <v>-7.1195199999999996</v>
      </c>
      <c r="E746">
        <v>-0.14832000000000001</v>
      </c>
    </row>
    <row r="747" spans="2:5" x14ac:dyDescent="0.25">
      <c r="B747" t="s">
        <v>569</v>
      </c>
      <c r="C747">
        <v>33</v>
      </c>
      <c r="D747">
        <v>-4.9163100000000002</v>
      </c>
      <c r="E747">
        <v>-0.14898</v>
      </c>
    </row>
    <row r="748" spans="2:5" x14ac:dyDescent="0.25">
      <c r="B748" t="s">
        <v>300</v>
      </c>
      <c r="C748">
        <v>22</v>
      </c>
      <c r="D748">
        <v>-3.28335</v>
      </c>
      <c r="E748">
        <v>-0.14924000000000001</v>
      </c>
    </row>
    <row r="749" spans="2:5" x14ac:dyDescent="0.25">
      <c r="B749" t="s">
        <v>885</v>
      </c>
      <c r="C749">
        <v>21</v>
      </c>
      <c r="D749">
        <v>-3.1369600000000002</v>
      </c>
      <c r="E749">
        <v>-0.14938000000000001</v>
      </c>
    </row>
    <row r="750" spans="2:5" x14ac:dyDescent="0.25">
      <c r="B750" t="s">
        <v>380</v>
      </c>
      <c r="C750">
        <v>74</v>
      </c>
      <c r="D750">
        <v>-11.06575</v>
      </c>
      <c r="E750">
        <v>-0.14954000000000001</v>
      </c>
    </row>
    <row r="751" spans="2:5" x14ac:dyDescent="0.25">
      <c r="B751" t="s">
        <v>576</v>
      </c>
      <c r="C751">
        <v>32</v>
      </c>
      <c r="D751">
        <v>-4.8675100000000002</v>
      </c>
      <c r="E751">
        <v>-0.15211</v>
      </c>
    </row>
    <row r="752" spans="2:5" x14ac:dyDescent="0.25">
      <c r="B752" t="s">
        <v>595</v>
      </c>
      <c r="C752">
        <v>31</v>
      </c>
      <c r="D752">
        <v>-4.7182599999999999</v>
      </c>
      <c r="E752">
        <v>-0.1522</v>
      </c>
    </row>
    <row r="753" spans="2:5" x14ac:dyDescent="0.25">
      <c r="B753" t="s">
        <v>296</v>
      </c>
      <c r="C753">
        <v>16</v>
      </c>
      <c r="D753">
        <v>-2.43885</v>
      </c>
      <c r="E753">
        <v>-0.15243000000000001</v>
      </c>
    </row>
    <row r="754" spans="2:5" x14ac:dyDescent="0.25">
      <c r="B754" t="s">
        <v>641</v>
      </c>
      <c r="C754">
        <v>19</v>
      </c>
      <c r="D754">
        <v>-2.9025500000000002</v>
      </c>
      <c r="E754">
        <v>-0.15276999999999999</v>
      </c>
    </row>
    <row r="755" spans="2:5" x14ac:dyDescent="0.25">
      <c r="B755" t="s">
        <v>60</v>
      </c>
      <c r="C755">
        <v>28</v>
      </c>
      <c r="D755">
        <v>-4.2842200000000004</v>
      </c>
      <c r="E755">
        <v>-0.15301000000000001</v>
      </c>
    </row>
    <row r="756" spans="2:5" x14ac:dyDescent="0.25">
      <c r="B756" t="s">
        <v>742</v>
      </c>
      <c r="C756">
        <v>30</v>
      </c>
      <c r="D756">
        <v>-4.6102800000000004</v>
      </c>
      <c r="E756">
        <v>-0.15368000000000001</v>
      </c>
    </row>
    <row r="757" spans="2:5" x14ac:dyDescent="0.25">
      <c r="B757" t="s">
        <v>793</v>
      </c>
      <c r="C757">
        <v>8</v>
      </c>
      <c r="D757">
        <v>-1.2326600000000001</v>
      </c>
      <c r="E757">
        <v>-0.15407999999999999</v>
      </c>
    </row>
    <row r="758" spans="2:5" x14ac:dyDescent="0.25">
      <c r="B758" t="s">
        <v>59</v>
      </c>
      <c r="C758">
        <v>34</v>
      </c>
      <c r="D758">
        <v>-5.3094099999999997</v>
      </c>
      <c r="E758">
        <v>-0.15615999999999999</v>
      </c>
    </row>
    <row r="759" spans="2:5" x14ac:dyDescent="0.25">
      <c r="B759" t="s">
        <v>321</v>
      </c>
      <c r="C759">
        <v>34</v>
      </c>
      <c r="D759">
        <v>-5.3104399999999998</v>
      </c>
      <c r="E759">
        <v>-0.15619</v>
      </c>
    </row>
    <row r="760" spans="2:5" x14ac:dyDescent="0.25">
      <c r="B760" t="s">
        <v>587</v>
      </c>
      <c r="C760">
        <v>13</v>
      </c>
      <c r="D760">
        <v>-2.0416099999999999</v>
      </c>
      <c r="E760">
        <v>-0.15705</v>
      </c>
    </row>
    <row r="761" spans="2:5" x14ac:dyDescent="0.25">
      <c r="B761" t="s">
        <v>550</v>
      </c>
      <c r="C761">
        <v>30</v>
      </c>
      <c r="D761">
        <v>-4.7299899999999999</v>
      </c>
      <c r="E761">
        <v>-0.15767</v>
      </c>
    </row>
    <row r="762" spans="2:5" x14ac:dyDescent="0.25">
      <c r="B762" t="s">
        <v>1021</v>
      </c>
      <c r="C762">
        <v>2</v>
      </c>
      <c r="D762">
        <v>-0.31711</v>
      </c>
      <c r="E762">
        <v>-0.15855</v>
      </c>
    </row>
    <row r="763" spans="2:5" x14ac:dyDescent="0.25">
      <c r="B763" t="s">
        <v>89</v>
      </c>
      <c r="C763">
        <v>66</v>
      </c>
      <c r="D763">
        <v>-10.50234</v>
      </c>
      <c r="E763">
        <v>-0.15912999999999999</v>
      </c>
    </row>
    <row r="764" spans="2:5" x14ac:dyDescent="0.25">
      <c r="B764" t="s">
        <v>613</v>
      </c>
      <c r="C764">
        <v>59</v>
      </c>
      <c r="D764">
        <v>-9.4337099999999996</v>
      </c>
      <c r="E764">
        <v>-0.15989</v>
      </c>
    </row>
    <row r="765" spans="2:5" x14ac:dyDescent="0.25">
      <c r="B765" t="s">
        <v>488</v>
      </c>
      <c r="C765">
        <v>30</v>
      </c>
      <c r="D765">
        <v>-4.7979500000000002</v>
      </c>
      <c r="E765">
        <v>-0.15992999999999999</v>
      </c>
    </row>
    <row r="766" spans="2:5" x14ac:dyDescent="0.25">
      <c r="B766" t="s">
        <v>930</v>
      </c>
      <c r="C766">
        <v>3</v>
      </c>
      <c r="D766">
        <v>-0.48193000000000003</v>
      </c>
      <c r="E766">
        <v>-0.16064000000000001</v>
      </c>
    </row>
    <row r="767" spans="2:5" x14ac:dyDescent="0.25">
      <c r="B767" t="s">
        <v>338</v>
      </c>
      <c r="C767">
        <v>46</v>
      </c>
      <c r="D767">
        <v>-7.4266500000000004</v>
      </c>
      <c r="E767">
        <v>-0.16145000000000001</v>
      </c>
    </row>
    <row r="768" spans="2:5" x14ac:dyDescent="0.25">
      <c r="B768" t="s">
        <v>866</v>
      </c>
      <c r="C768">
        <v>60</v>
      </c>
      <c r="D768">
        <v>-9.7053200000000004</v>
      </c>
      <c r="E768">
        <v>-0.16175999999999999</v>
      </c>
    </row>
    <row r="769" spans="2:5" x14ac:dyDescent="0.25">
      <c r="B769" t="s">
        <v>840</v>
      </c>
      <c r="C769">
        <v>8</v>
      </c>
      <c r="D769">
        <v>-1.2995000000000001</v>
      </c>
      <c r="E769">
        <v>-0.16244</v>
      </c>
    </row>
    <row r="770" spans="2:5" x14ac:dyDescent="0.25">
      <c r="B770" t="s">
        <v>794</v>
      </c>
      <c r="C770">
        <v>4</v>
      </c>
      <c r="D770">
        <v>-0.65697000000000005</v>
      </c>
      <c r="E770">
        <v>-0.16424</v>
      </c>
    </row>
    <row r="771" spans="2:5" x14ac:dyDescent="0.25">
      <c r="B771" t="s">
        <v>821</v>
      </c>
      <c r="C771">
        <v>23</v>
      </c>
      <c r="D771">
        <v>-3.7873399999999999</v>
      </c>
      <c r="E771">
        <v>-0.16467000000000001</v>
      </c>
    </row>
    <row r="772" spans="2:5" x14ac:dyDescent="0.25">
      <c r="B772" t="s">
        <v>401</v>
      </c>
      <c r="C772">
        <v>1</v>
      </c>
      <c r="D772">
        <v>-0.16481999999999999</v>
      </c>
      <c r="E772">
        <v>-0.16481999999999999</v>
      </c>
    </row>
    <row r="773" spans="2:5" x14ac:dyDescent="0.25">
      <c r="B773" t="s">
        <v>747</v>
      </c>
      <c r="C773">
        <v>1</v>
      </c>
      <c r="D773">
        <v>-0.16481999999999999</v>
      </c>
      <c r="E773">
        <v>-0.16481999999999999</v>
      </c>
    </row>
    <row r="774" spans="2:5" x14ac:dyDescent="0.25">
      <c r="B774" t="s">
        <v>781</v>
      </c>
      <c r="C774">
        <v>1</v>
      </c>
      <c r="D774">
        <v>-0.16481999999999999</v>
      </c>
      <c r="E774">
        <v>-0.16481999999999999</v>
      </c>
    </row>
    <row r="775" spans="2:5" x14ac:dyDescent="0.25">
      <c r="B775" t="s">
        <v>782</v>
      </c>
      <c r="C775">
        <v>2</v>
      </c>
      <c r="D775">
        <v>-0.32963999999999999</v>
      </c>
      <c r="E775">
        <v>-0.16481999999999999</v>
      </c>
    </row>
    <row r="776" spans="2:5" x14ac:dyDescent="0.25">
      <c r="B776" t="s">
        <v>877</v>
      </c>
      <c r="C776">
        <v>2</v>
      </c>
      <c r="D776">
        <v>-0.32963999999999999</v>
      </c>
      <c r="E776">
        <v>-0.16481999999999999</v>
      </c>
    </row>
    <row r="777" spans="2:5" x14ac:dyDescent="0.25">
      <c r="B777" t="s">
        <v>899</v>
      </c>
      <c r="C777">
        <v>1</v>
      </c>
      <c r="D777">
        <v>-0.16481999999999999</v>
      </c>
      <c r="E777">
        <v>-0.16481999999999999</v>
      </c>
    </row>
    <row r="778" spans="2:5" x14ac:dyDescent="0.25">
      <c r="B778" t="s">
        <v>905</v>
      </c>
      <c r="C778">
        <v>1</v>
      </c>
      <c r="D778">
        <v>-0.16481999999999999</v>
      </c>
      <c r="E778">
        <v>-0.16481999999999999</v>
      </c>
    </row>
    <row r="779" spans="2:5" x14ac:dyDescent="0.25">
      <c r="B779" t="s">
        <v>967</v>
      </c>
      <c r="C779">
        <v>2</v>
      </c>
      <c r="D779">
        <v>-0.32963999999999999</v>
      </c>
      <c r="E779">
        <v>-0.16481999999999999</v>
      </c>
    </row>
    <row r="780" spans="2:5" x14ac:dyDescent="0.25">
      <c r="B780" t="s">
        <v>982</v>
      </c>
      <c r="C780">
        <v>1</v>
      </c>
      <c r="D780">
        <v>-0.16481999999999999</v>
      </c>
      <c r="E780">
        <v>-0.16481999999999999</v>
      </c>
    </row>
    <row r="781" spans="2:5" x14ac:dyDescent="0.25">
      <c r="B781" t="s">
        <v>1016</v>
      </c>
      <c r="C781">
        <v>1</v>
      </c>
      <c r="D781">
        <v>-0.16481999999999999</v>
      </c>
      <c r="E781">
        <v>-0.16481999999999999</v>
      </c>
    </row>
    <row r="782" spans="2:5" x14ac:dyDescent="0.25">
      <c r="B782" t="s">
        <v>1030</v>
      </c>
      <c r="C782">
        <v>1</v>
      </c>
      <c r="D782">
        <v>-0.16481999999999999</v>
      </c>
      <c r="E782">
        <v>-0.16481999999999999</v>
      </c>
    </row>
    <row r="783" spans="2:5" x14ac:dyDescent="0.25">
      <c r="B783" t="s">
        <v>1037</v>
      </c>
      <c r="C783">
        <v>2</v>
      </c>
      <c r="D783">
        <v>-0.32963999999999999</v>
      </c>
      <c r="E783">
        <v>-0.16481999999999999</v>
      </c>
    </row>
    <row r="784" spans="2:5" x14ac:dyDescent="0.25">
      <c r="B784" t="s">
        <v>1047</v>
      </c>
      <c r="C784">
        <v>1</v>
      </c>
      <c r="D784">
        <v>-0.16481999999999999</v>
      </c>
      <c r="E784">
        <v>-0.16481999999999999</v>
      </c>
    </row>
    <row r="785" spans="2:5" x14ac:dyDescent="0.25">
      <c r="B785" t="s">
        <v>558</v>
      </c>
      <c r="C785">
        <v>4</v>
      </c>
      <c r="D785">
        <v>-0.65944999999999998</v>
      </c>
      <c r="E785">
        <v>-0.16486000000000001</v>
      </c>
    </row>
    <row r="786" spans="2:5" x14ac:dyDescent="0.25">
      <c r="B786" t="s">
        <v>570</v>
      </c>
      <c r="C786">
        <v>20</v>
      </c>
      <c r="D786">
        <v>-3.3041399999999999</v>
      </c>
      <c r="E786">
        <v>-0.16521</v>
      </c>
    </row>
    <row r="787" spans="2:5" x14ac:dyDescent="0.25">
      <c r="B787" t="s">
        <v>850</v>
      </c>
      <c r="C787">
        <v>11</v>
      </c>
      <c r="D787">
        <v>-1.8253200000000001</v>
      </c>
      <c r="E787">
        <v>-0.16594</v>
      </c>
    </row>
    <row r="788" spans="2:5" x14ac:dyDescent="0.25">
      <c r="B788" t="s">
        <v>449</v>
      </c>
      <c r="C788">
        <v>44</v>
      </c>
      <c r="D788">
        <v>-7.3185799999999999</v>
      </c>
      <c r="E788">
        <v>-0.16633000000000001</v>
      </c>
    </row>
    <row r="789" spans="2:5" x14ac:dyDescent="0.25">
      <c r="B789" t="s">
        <v>765</v>
      </c>
      <c r="C789">
        <v>28</v>
      </c>
      <c r="D789">
        <v>-4.6598499999999996</v>
      </c>
      <c r="E789">
        <v>-0.16642000000000001</v>
      </c>
    </row>
    <row r="790" spans="2:5" x14ac:dyDescent="0.25">
      <c r="B790" t="s">
        <v>956</v>
      </c>
      <c r="C790">
        <v>4</v>
      </c>
      <c r="D790">
        <v>-0.67044999999999999</v>
      </c>
      <c r="E790">
        <v>-0.16761000000000001</v>
      </c>
    </row>
    <row r="791" spans="2:5" x14ac:dyDescent="0.25">
      <c r="B791" t="s">
        <v>498</v>
      </c>
      <c r="C791">
        <v>3</v>
      </c>
      <c r="D791">
        <v>-0.50717000000000001</v>
      </c>
      <c r="E791">
        <v>-0.16905999999999999</v>
      </c>
    </row>
    <row r="792" spans="2:5" x14ac:dyDescent="0.25">
      <c r="B792" t="s">
        <v>582</v>
      </c>
      <c r="C792">
        <v>63</v>
      </c>
      <c r="D792">
        <v>-10.726559999999999</v>
      </c>
      <c r="E792">
        <v>-0.17025999999999999</v>
      </c>
    </row>
    <row r="793" spans="2:5" x14ac:dyDescent="0.25">
      <c r="B793" t="s">
        <v>988</v>
      </c>
      <c r="C793">
        <v>3</v>
      </c>
      <c r="D793">
        <v>-0.51200999999999997</v>
      </c>
      <c r="E793">
        <v>-0.17066999999999999</v>
      </c>
    </row>
    <row r="794" spans="2:5" x14ac:dyDescent="0.25">
      <c r="B794" t="s">
        <v>978</v>
      </c>
      <c r="C794">
        <v>2</v>
      </c>
      <c r="D794">
        <v>-0.34233999999999998</v>
      </c>
      <c r="E794">
        <v>-0.17116999999999999</v>
      </c>
    </row>
    <row r="795" spans="2:5" x14ac:dyDescent="0.25">
      <c r="B795" t="s">
        <v>822</v>
      </c>
      <c r="C795">
        <v>4</v>
      </c>
      <c r="D795">
        <v>-0.68581000000000003</v>
      </c>
      <c r="E795">
        <v>-0.17144999999999999</v>
      </c>
    </row>
    <row r="796" spans="2:5" x14ac:dyDescent="0.25">
      <c r="B796" t="s">
        <v>346</v>
      </c>
      <c r="C796">
        <v>25</v>
      </c>
      <c r="D796">
        <v>-4.3020699999999996</v>
      </c>
      <c r="E796">
        <v>-0.17208000000000001</v>
      </c>
    </row>
    <row r="797" spans="2:5" x14ac:dyDescent="0.25">
      <c r="B797" t="s">
        <v>879</v>
      </c>
      <c r="C797">
        <v>36</v>
      </c>
      <c r="D797">
        <v>-6.20113</v>
      </c>
      <c r="E797">
        <v>-0.17224999999999999</v>
      </c>
    </row>
    <row r="798" spans="2:5" x14ac:dyDescent="0.25">
      <c r="B798" t="s">
        <v>816</v>
      </c>
      <c r="C798">
        <v>46</v>
      </c>
      <c r="D798">
        <v>-7.9747399999999997</v>
      </c>
      <c r="E798">
        <v>-0.17335999999999999</v>
      </c>
    </row>
    <row r="799" spans="2:5" x14ac:dyDescent="0.25">
      <c r="B799" t="s">
        <v>313</v>
      </c>
      <c r="C799">
        <v>3</v>
      </c>
      <c r="D799">
        <v>-0.52098999999999995</v>
      </c>
      <c r="E799">
        <v>-0.17366000000000001</v>
      </c>
    </row>
    <row r="800" spans="2:5" x14ac:dyDescent="0.25">
      <c r="B800" t="s">
        <v>862</v>
      </c>
      <c r="C800">
        <v>3</v>
      </c>
      <c r="D800">
        <v>-0.52098999999999995</v>
      </c>
      <c r="E800">
        <v>-0.17366000000000001</v>
      </c>
    </row>
    <row r="801" spans="2:5" x14ac:dyDescent="0.25">
      <c r="B801" t="s">
        <v>886</v>
      </c>
      <c r="C801">
        <v>3</v>
      </c>
      <c r="D801">
        <v>-0.52098999999999995</v>
      </c>
      <c r="E801">
        <v>-0.17366000000000001</v>
      </c>
    </row>
    <row r="802" spans="2:5" x14ac:dyDescent="0.25">
      <c r="B802" t="s">
        <v>360</v>
      </c>
      <c r="C802">
        <v>4</v>
      </c>
      <c r="D802">
        <v>-0.69525000000000003</v>
      </c>
      <c r="E802">
        <v>-0.17380999999999999</v>
      </c>
    </row>
    <row r="803" spans="2:5" x14ac:dyDescent="0.25">
      <c r="B803" t="s">
        <v>307</v>
      </c>
      <c r="C803">
        <v>42</v>
      </c>
      <c r="D803">
        <v>-7.4537300000000002</v>
      </c>
      <c r="E803">
        <v>-0.17746999999999999</v>
      </c>
    </row>
    <row r="804" spans="2:5" x14ac:dyDescent="0.25">
      <c r="B804" t="s">
        <v>751</v>
      </c>
      <c r="C804">
        <v>2</v>
      </c>
      <c r="D804">
        <v>-0.35616999999999999</v>
      </c>
      <c r="E804">
        <v>-0.17807999999999999</v>
      </c>
    </row>
    <row r="805" spans="2:5" x14ac:dyDescent="0.25">
      <c r="B805" t="s">
        <v>809</v>
      </c>
      <c r="C805">
        <v>2</v>
      </c>
      <c r="D805">
        <v>-0.35616999999999999</v>
      </c>
      <c r="E805">
        <v>-0.17807999999999999</v>
      </c>
    </row>
    <row r="806" spans="2:5" x14ac:dyDescent="0.25">
      <c r="B806" t="s">
        <v>813</v>
      </c>
      <c r="C806">
        <v>2</v>
      </c>
      <c r="D806">
        <v>-0.35616999999999999</v>
      </c>
      <c r="E806">
        <v>-0.17807999999999999</v>
      </c>
    </row>
    <row r="807" spans="2:5" x14ac:dyDescent="0.25">
      <c r="B807" t="s">
        <v>916</v>
      </c>
      <c r="C807">
        <v>2</v>
      </c>
      <c r="D807">
        <v>-0.35616999999999999</v>
      </c>
      <c r="E807">
        <v>-0.17807999999999999</v>
      </c>
    </row>
    <row r="808" spans="2:5" x14ac:dyDescent="0.25">
      <c r="B808" t="s">
        <v>957</v>
      </c>
      <c r="C808">
        <v>2</v>
      </c>
      <c r="D808">
        <v>-0.35616999999999999</v>
      </c>
      <c r="E808">
        <v>-0.17807999999999999</v>
      </c>
    </row>
    <row r="809" spans="2:5" x14ac:dyDescent="0.25">
      <c r="B809" t="s">
        <v>1022</v>
      </c>
      <c r="C809">
        <v>2</v>
      </c>
      <c r="D809">
        <v>-0.35616999999999999</v>
      </c>
      <c r="E809">
        <v>-0.17807999999999999</v>
      </c>
    </row>
    <row r="810" spans="2:5" x14ac:dyDescent="0.25">
      <c r="B810" t="s">
        <v>495</v>
      </c>
      <c r="C810">
        <v>15</v>
      </c>
      <c r="D810">
        <v>-2.6929400000000001</v>
      </c>
      <c r="E810">
        <v>-0.17953</v>
      </c>
    </row>
    <row r="811" spans="2:5" x14ac:dyDescent="0.25">
      <c r="B811" t="s">
        <v>335</v>
      </c>
      <c r="C811">
        <v>11</v>
      </c>
      <c r="D811">
        <v>-1.97736</v>
      </c>
      <c r="E811">
        <v>-0.17976</v>
      </c>
    </row>
    <row r="812" spans="2:5" x14ac:dyDescent="0.25">
      <c r="B812" t="s">
        <v>949</v>
      </c>
      <c r="C812">
        <v>7</v>
      </c>
      <c r="D812">
        <v>-1.2601800000000001</v>
      </c>
      <c r="E812">
        <v>-0.18003</v>
      </c>
    </row>
    <row r="813" spans="2:5" x14ac:dyDescent="0.25">
      <c r="B813" t="s">
        <v>350</v>
      </c>
      <c r="C813">
        <v>32</v>
      </c>
      <c r="D813">
        <v>-5.7639899999999997</v>
      </c>
      <c r="E813">
        <v>-0.18012</v>
      </c>
    </row>
    <row r="814" spans="2:5" x14ac:dyDescent="0.25">
      <c r="B814" t="s">
        <v>762</v>
      </c>
      <c r="C814">
        <v>59</v>
      </c>
      <c r="D814">
        <v>-10.7522</v>
      </c>
      <c r="E814">
        <v>-0.18224000000000001</v>
      </c>
    </row>
    <row r="815" spans="2:5" x14ac:dyDescent="0.25">
      <c r="B815" t="s">
        <v>750</v>
      </c>
      <c r="C815">
        <v>3</v>
      </c>
      <c r="D815">
        <v>-0.54688000000000003</v>
      </c>
      <c r="E815">
        <v>-0.18229000000000001</v>
      </c>
    </row>
    <row r="816" spans="2:5" x14ac:dyDescent="0.25">
      <c r="B816" t="s">
        <v>767</v>
      </c>
      <c r="C816">
        <v>7</v>
      </c>
      <c r="D816">
        <v>-1.27948</v>
      </c>
      <c r="E816">
        <v>-0.18278</v>
      </c>
    </row>
    <row r="817" spans="2:5" x14ac:dyDescent="0.25">
      <c r="B817" t="s">
        <v>611</v>
      </c>
      <c r="C817">
        <v>18</v>
      </c>
      <c r="D817">
        <v>-3.2901500000000001</v>
      </c>
      <c r="E817">
        <v>-0.18279000000000001</v>
      </c>
    </row>
    <row r="818" spans="2:5" x14ac:dyDescent="0.25">
      <c r="B818" t="s">
        <v>910</v>
      </c>
      <c r="C818">
        <v>4</v>
      </c>
      <c r="D818">
        <v>-0.73565999999999998</v>
      </c>
      <c r="E818">
        <v>-0.18392</v>
      </c>
    </row>
    <row r="819" spans="2:5" x14ac:dyDescent="0.25">
      <c r="B819" t="s">
        <v>565</v>
      </c>
      <c r="C819">
        <v>18</v>
      </c>
      <c r="D819">
        <v>-3.3243</v>
      </c>
      <c r="E819">
        <v>-0.18468000000000001</v>
      </c>
    </row>
    <row r="820" spans="2:5" x14ac:dyDescent="0.25">
      <c r="B820" t="s">
        <v>318</v>
      </c>
      <c r="C820">
        <v>50</v>
      </c>
      <c r="D820">
        <v>-9.28965</v>
      </c>
      <c r="E820">
        <v>-0.18579000000000001</v>
      </c>
    </row>
    <row r="821" spans="2:5" x14ac:dyDescent="0.25">
      <c r="B821" t="s">
        <v>849</v>
      </c>
      <c r="C821">
        <v>7</v>
      </c>
      <c r="D821">
        <v>-1.3021799999999999</v>
      </c>
      <c r="E821">
        <v>-0.18603</v>
      </c>
    </row>
    <row r="822" spans="2:5" x14ac:dyDescent="0.25">
      <c r="B822" t="s">
        <v>752</v>
      </c>
      <c r="C822">
        <v>60</v>
      </c>
      <c r="D822">
        <v>-11.32166</v>
      </c>
      <c r="E822">
        <v>-0.18869</v>
      </c>
    </row>
    <row r="823" spans="2:5" x14ac:dyDescent="0.25">
      <c r="B823" t="s">
        <v>1038</v>
      </c>
      <c r="C823">
        <v>17</v>
      </c>
      <c r="D823">
        <v>-3.2110099999999999</v>
      </c>
      <c r="E823">
        <v>-0.18887999999999999</v>
      </c>
    </row>
    <row r="824" spans="2:5" x14ac:dyDescent="0.25">
      <c r="B824" t="s">
        <v>904</v>
      </c>
      <c r="C824">
        <v>10</v>
      </c>
      <c r="D824">
        <v>-1.8888799999999999</v>
      </c>
      <c r="E824">
        <v>-0.18889</v>
      </c>
    </row>
    <row r="825" spans="2:5" x14ac:dyDescent="0.25">
      <c r="B825" t="s">
        <v>463</v>
      </c>
      <c r="C825">
        <v>40</v>
      </c>
      <c r="D825">
        <v>-7.5625600000000004</v>
      </c>
      <c r="E825">
        <v>-0.18906000000000001</v>
      </c>
    </row>
    <row r="826" spans="2:5" x14ac:dyDescent="0.25">
      <c r="B826" t="s">
        <v>627</v>
      </c>
      <c r="C826">
        <v>42</v>
      </c>
      <c r="D826">
        <v>-8.0053699999999992</v>
      </c>
      <c r="E826">
        <v>-0.19059999999999999</v>
      </c>
    </row>
    <row r="827" spans="2:5" x14ac:dyDescent="0.25">
      <c r="B827" t="s">
        <v>175</v>
      </c>
      <c r="C827">
        <v>1</v>
      </c>
      <c r="D827">
        <v>-0.19098999999999999</v>
      </c>
      <c r="E827">
        <v>-0.19098999999999999</v>
      </c>
    </row>
    <row r="828" spans="2:5" x14ac:dyDescent="0.25">
      <c r="B828" t="s">
        <v>983</v>
      </c>
      <c r="C828">
        <v>1</v>
      </c>
      <c r="D828">
        <v>-0.19098999999999999</v>
      </c>
      <c r="E828">
        <v>-0.19098999999999999</v>
      </c>
    </row>
    <row r="829" spans="2:5" x14ac:dyDescent="0.25">
      <c r="B829" t="s">
        <v>467</v>
      </c>
      <c r="C829">
        <v>16</v>
      </c>
      <c r="D829">
        <v>-3.0569600000000001</v>
      </c>
      <c r="E829">
        <v>-0.19106000000000001</v>
      </c>
    </row>
    <row r="830" spans="2:5" x14ac:dyDescent="0.25">
      <c r="B830" t="s">
        <v>779</v>
      </c>
      <c r="C830">
        <v>3</v>
      </c>
      <c r="D830">
        <v>-0.57437000000000005</v>
      </c>
      <c r="E830">
        <v>-0.19145999999999999</v>
      </c>
    </row>
    <row r="831" spans="2:5" x14ac:dyDescent="0.25">
      <c r="B831" t="s">
        <v>363</v>
      </c>
      <c r="C831">
        <v>37</v>
      </c>
      <c r="D831">
        <v>-7.1489200000000004</v>
      </c>
      <c r="E831">
        <v>-0.19320999999999999</v>
      </c>
    </row>
    <row r="832" spans="2:5" x14ac:dyDescent="0.25">
      <c r="B832" t="s">
        <v>428</v>
      </c>
      <c r="C832">
        <v>9</v>
      </c>
      <c r="D832">
        <v>-1.7396199999999999</v>
      </c>
      <c r="E832">
        <v>-0.19328999999999999</v>
      </c>
    </row>
    <row r="833" spans="2:5" x14ac:dyDescent="0.25">
      <c r="B833" t="s">
        <v>596</v>
      </c>
      <c r="C833">
        <v>54</v>
      </c>
      <c r="D833">
        <v>-10.456899999999999</v>
      </c>
      <c r="E833">
        <v>-0.19364999999999999</v>
      </c>
    </row>
    <row r="834" spans="2:5" x14ac:dyDescent="0.25">
      <c r="B834" t="s">
        <v>746</v>
      </c>
      <c r="C834">
        <v>11</v>
      </c>
      <c r="D834">
        <v>-2.1454800000000001</v>
      </c>
      <c r="E834">
        <v>-0.19503999999999999</v>
      </c>
    </row>
    <row r="835" spans="2:5" x14ac:dyDescent="0.25">
      <c r="B835" t="s">
        <v>909</v>
      </c>
      <c r="C835">
        <v>2</v>
      </c>
      <c r="D835">
        <v>-0.39130999999999999</v>
      </c>
      <c r="E835">
        <v>-0.19564999999999999</v>
      </c>
    </row>
    <row r="836" spans="2:5" x14ac:dyDescent="0.25">
      <c r="B836" t="s">
        <v>702</v>
      </c>
      <c r="C836">
        <v>21</v>
      </c>
      <c r="D836">
        <v>-4.1390399999999996</v>
      </c>
      <c r="E836">
        <v>-0.1971</v>
      </c>
    </row>
    <row r="837" spans="2:5" x14ac:dyDescent="0.25">
      <c r="B837" t="s">
        <v>777</v>
      </c>
      <c r="C837">
        <v>31</v>
      </c>
      <c r="D837">
        <v>-6.1171899999999999</v>
      </c>
      <c r="E837">
        <v>-0.19733000000000001</v>
      </c>
    </row>
    <row r="838" spans="2:5" x14ac:dyDescent="0.25">
      <c r="B838" t="s">
        <v>683</v>
      </c>
      <c r="C838">
        <v>7</v>
      </c>
      <c r="D838">
        <v>-1.3972800000000001</v>
      </c>
      <c r="E838">
        <v>-0.19961000000000001</v>
      </c>
    </row>
    <row r="839" spans="2:5" x14ac:dyDescent="0.25">
      <c r="B839" t="s">
        <v>989</v>
      </c>
      <c r="C839">
        <v>2</v>
      </c>
      <c r="D839">
        <v>-0.39971000000000001</v>
      </c>
      <c r="E839">
        <v>-0.19986000000000001</v>
      </c>
    </row>
    <row r="840" spans="2:5" x14ac:dyDescent="0.25">
      <c r="B840" t="s">
        <v>308</v>
      </c>
      <c r="C840">
        <v>3</v>
      </c>
      <c r="D840">
        <v>-0.60016999999999998</v>
      </c>
      <c r="E840">
        <v>-0.20005999999999999</v>
      </c>
    </row>
    <row r="841" spans="2:5" x14ac:dyDescent="0.25">
      <c r="B841" t="s">
        <v>900</v>
      </c>
      <c r="C841">
        <v>2</v>
      </c>
      <c r="D841">
        <v>-0.40117999999999998</v>
      </c>
      <c r="E841">
        <v>-0.20058999999999999</v>
      </c>
    </row>
    <row r="842" spans="2:5" x14ac:dyDescent="0.25">
      <c r="B842" t="s">
        <v>986</v>
      </c>
      <c r="C842">
        <v>2</v>
      </c>
      <c r="D842">
        <v>-0.40117999999999998</v>
      </c>
      <c r="E842">
        <v>-0.20058999999999999</v>
      </c>
    </row>
    <row r="843" spans="2:5" x14ac:dyDescent="0.25">
      <c r="B843" t="s">
        <v>374</v>
      </c>
      <c r="C843">
        <v>25</v>
      </c>
      <c r="D843">
        <v>-5.0196500000000004</v>
      </c>
      <c r="E843">
        <v>-0.20079</v>
      </c>
    </row>
    <row r="844" spans="2:5" x14ac:dyDescent="0.25">
      <c r="B844" t="s">
        <v>477</v>
      </c>
      <c r="C844">
        <v>57</v>
      </c>
      <c r="D844">
        <v>-11.51052</v>
      </c>
      <c r="E844">
        <v>-0.20194000000000001</v>
      </c>
    </row>
    <row r="845" spans="2:5" x14ac:dyDescent="0.25">
      <c r="B845" t="s">
        <v>577</v>
      </c>
      <c r="C845">
        <v>43</v>
      </c>
      <c r="D845">
        <v>-8.6896000000000004</v>
      </c>
      <c r="E845">
        <v>-0.20208000000000001</v>
      </c>
    </row>
    <row r="846" spans="2:5" x14ac:dyDescent="0.25">
      <c r="B846" t="s">
        <v>895</v>
      </c>
      <c r="C846">
        <v>3</v>
      </c>
      <c r="D846">
        <v>-0.60633999999999999</v>
      </c>
      <c r="E846">
        <v>-0.20211000000000001</v>
      </c>
    </row>
    <row r="847" spans="2:5" x14ac:dyDescent="0.25">
      <c r="B847" t="s">
        <v>834</v>
      </c>
      <c r="C847">
        <v>5</v>
      </c>
      <c r="D847">
        <v>-1.01108</v>
      </c>
      <c r="E847">
        <v>-0.20222000000000001</v>
      </c>
    </row>
    <row r="848" spans="2:5" x14ac:dyDescent="0.25">
      <c r="B848" t="s">
        <v>458</v>
      </c>
      <c r="C848">
        <v>15</v>
      </c>
      <c r="D848">
        <v>-3.0449199999999998</v>
      </c>
      <c r="E848">
        <v>-0.20299</v>
      </c>
    </row>
    <row r="849" spans="2:5" x14ac:dyDescent="0.25">
      <c r="B849" t="s">
        <v>404</v>
      </c>
      <c r="C849">
        <v>34</v>
      </c>
      <c r="D849">
        <v>-6.9142099999999997</v>
      </c>
      <c r="E849">
        <v>-0.20336000000000001</v>
      </c>
    </row>
    <row r="850" spans="2:5" x14ac:dyDescent="0.25">
      <c r="B850" t="s">
        <v>922</v>
      </c>
      <c r="C850">
        <v>4</v>
      </c>
      <c r="D850">
        <v>-0.81616999999999995</v>
      </c>
      <c r="E850">
        <v>-0.20404</v>
      </c>
    </row>
    <row r="851" spans="2:5" x14ac:dyDescent="0.25">
      <c r="B851" t="s">
        <v>508</v>
      </c>
      <c r="C851">
        <v>8</v>
      </c>
      <c r="D851">
        <v>-1.64758</v>
      </c>
      <c r="E851">
        <v>-0.20594999999999999</v>
      </c>
    </row>
    <row r="852" spans="2:5" x14ac:dyDescent="0.25">
      <c r="B852" t="s">
        <v>299</v>
      </c>
      <c r="C852">
        <v>17</v>
      </c>
      <c r="D852">
        <v>-3.51416</v>
      </c>
      <c r="E852">
        <v>-0.20671999999999999</v>
      </c>
    </row>
    <row r="853" spans="2:5" x14ac:dyDescent="0.25">
      <c r="B853" t="s">
        <v>540</v>
      </c>
      <c r="C853">
        <v>12</v>
      </c>
      <c r="D853">
        <v>-2.4891700000000001</v>
      </c>
      <c r="E853">
        <v>-0.20743</v>
      </c>
    </row>
    <row r="854" spans="2:5" x14ac:dyDescent="0.25">
      <c r="B854" t="s">
        <v>872</v>
      </c>
      <c r="C854">
        <v>2</v>
      </c>
      <c r="D854">
        <v>-0.41499999999999998</v>
      </c>
      <c r="E854">
        <v>-0.20749999999999999</v>
      </c>
    </row>
    <row r="855" spans="2:5" x14ac:dyDescent="0.25">
      <c r="B855" t="s">
        <v>889</v>
      </c>
      <c r="C855">
        <v>2</v>
      </c>
      <c r="D855">
        <v>-0.41499999999999998</v>
      </c>
      <c r="E855">
        <v>-0.20749999999999999</v>
      </c>
    </row>
    <row r="856" spans="2:5" x14ac:dyDescent="0.25">
      <c r="B856" t="s">
        <v>1025</v>
      </c>
      <c r="C856">
        <v>2</v>
      </c>
      <c r="D856">
        <v>-0.41499999999999998</v>
      </c>
      <c r="E856">
        <v>-0.20749999999999999</v>
      </c>
    </row>
    <row r="857" spans="2:5" x14ac:dyDescent="0.25">
      <c r="B857" t="s">
        <v>431</v>
      </c>
      <c r="C857">
        <v>11</v>
      </c>
      <c r="D857">
        <v>-2.2839299999999998</v>
      </c>
      <c r="E857">
        <v>-0.20763000000000001</v>
      </c>
    </row>
    <row r="858" spans="2:5" x14ac:dyDescent="0.25">
      <c r="B858" t="s">
        <v>603</v>
      </c>
      <c r="C858">
        <v>18</v>
      </c>
      <c r="D858">
        <v>-3.7420200000000001</v>
      </c>
      <c r="E858">
        <v>-0.20788999999999999</v>
      </c>
    </row>
    <row r="859" spans="2:5" x14ac:dyDescent="0.25">
      <c r="B859" t="s">
        <v>883</v>
      </c>
      <c r="C859">
        <v>17</v>
      </c>
      <c r="D859">
        <v>-3.5353500000000002</v>
      </c>
      <c r="E859">
        <v>-0.20796000000000001</v>
      </c>
    </row>
    <row r="860" spans="2:5" x14ac:dyDescent="0.25">
      <c r="B860" t="s">
        <v>355</v>
      </c>
      <c r="C860">
        <v>43</v>
      </c>
      <c r="D860">
        <v>-8.9535300000000007</v>
      </c>
      <c r="E860">
        <v>-0.20821999999999999</v>
      </c>
    </row>
    <row r="861" spans="2:5" x14ac:dyDescent="0.25">
      <c r="B861" t="s">
        <v>329</v>
      </c>
      <c r="C861">
        <v>10</v>
      </c>
      <c r="D861">
        <v>-2.08649</v>
      </c>
      <c r="E861">
        <v>-0.20865</v>
      </c>
    </row>
    <row r="862" spans="2:5" x14ac:dyDescent="0.25">
      <c r="B862" t="s">
        <v>421</v>
      </c>
      <c r="C862">
        <v>45</v>
      </c>
      <c r="D862">
        <v>-9.3975299999999997</v>
      </c>
      <c r="E862">
        <v>-0.20882999999999999</v>
      </c>
    </row>
    <row r="863" spans="2:5" x14ac:dyDescent="0.25">
      <c r="B863" t="s">
        <v>973</v>
      </c>
      <c r="C863">
        <v>3</v>
      </c>
      <c r="D863">
        <v>-0.63319999999999999</v>
      </c>
      <c r="E863">
        <v>-0.21107000000000001</v>
      </c>
    </row>
    <row r="864" spans="2:5" x14ac:dyDescent="0.25">
      <c r="B864" t="s">
        <v>941</v>
      </c>
      <c r="C864">
        <v>1</v>
      </c>
      <c r="D864">
        <v>-0.21112</v>
      </c>
      <c r="E864">
        <v>-0.21112</v>
      </c>
    </row>
    <row r="865" spans="2:5" x14ac:dyDescent="0.25">
      <c r="B865" t="s">
        <v>1014</v>
      </c>
      <c r="C865">
        <v>1</v>
      </c>
      <c r="D865">
        <v>-0.21112</v>
      </c>
      <c r="E865">
        <v>-0.21112</v>
      </c>
    </row>
    <row r="866" spans="2:5" x14ac:dyDescent="0.25">
      <c r="B866" t="s">
        <v>785</v>
      </c>
      <c r="C866">
        <v>2</v>
      </c>
      <c r="D866">
        <v>-0.42735000000000001</v>
      </c>
      <c r="E866">
        <v>-0.21367</v>
      </c>
    </row>
    <row r="867" spans="2:5" x14ac:dyDescent="0.25">
      <c r="B867" t="s">
        <v>517</v>
      </c>
      <c r="C867">
        <v>62</v>
      </c>
      <c r="D867">
        <v>-13.27997</v>
      </c>
      <c r="E867">
        <v>-0.21418999999999999</v>
      </c>
    </row>
    <row r="868" spans="2:5" x14ac:dyDescent="0.25">
      <c r="B868" t="s">
        <v>446</v>
      </c>
      <c r="C868">
        <v>33</v>
      </c>
      <c r="D868">
        <v>-7.0759699999999999</v>
      </c>
      <c r="E868">
        <v>-0.21442</v>
      </c>
    </row>
    <row r="869" spans="2:5" x14ac:dyDescent="0.25">
      <c r="B869" t="s">
        <v>976</v>
      </c>
      <c r="C869">
        <v>2</v>
      </c>
      <c r="D869">
        <v>-0.43125999999999998</v>
      </c>
      <c r="E869">
        <v>-0.21562999999999999</v>
      </c>
    </row>
    <row r="870" spans="2:5" x14ac:dyDescent="0.25">
      <c r="B870" t="s">
        <v>841</v>
      </c>
      <c r="C870">
        <v>14</v>
      </c>
      <c r="D870">
        <v>-3.0197099999999999</v>
      </c>
      <c r="E870">
        <v>-0.21568999999999999</v>
      </c>
    </row>
    <row r="871" spans="2:5" x14ac:dyDescent="0.25">
      <c r="B871" t="s">
        <v>888</v>
      </c>
      <c r="C871">
        <v>38</v>
      </c>
      <c r="D871">
        <v>-8.2621699999999993</v>
      </c>
      <c r="E871">
        <v>-0.21743000000000001</v>
      </c>
    </row>
    <row r="872" spans="2:5" x14ac:dyDescent="0.25">
      <c r="B872" t="s">
        <v>316</v>
      </c>
      <c r="C872">
        <v>51</v>
      </c>
      <c r="D872">
        <v>-11.09159</v>
      </c>
      <c r="E872">
        <v>-0.21748000000000001</v>
      </c>
    </row>
    <row r="873" spans="2:5" x14ac:dyDescent="0.25">
      <c r="B873" t="s">
        <v>426</v>
      </c>
      <c r="C873">
        <v>58</v>
      </c>
      <c r="D873">
        <v>-12.625</v>
      </c>
      <c r="E873">
        <v>-0.21767</v>
      </c>
    </row>
    <row r="874" spans="2:5" x14ac:dyDescent="0.25">
      <c r="B874" t="s">
        <v>365</v>
      </c>
      <c r="C874">
        <v>62</v>
      </c>
      <c r="D874">
        <v>-13.540979999999999</v>
      </c>
      <c r="E874">
        <v>-0.21840000000000001</v>
      </c>
    </row>
    <row r="875" spans="2:5" x14ac:dyDescent="0.25">
      <c r="B875" t="s">
        <v>802</v>
      </c>
      <c r="C875">
        <v>15</v>
      </c>
      <c r="D875">
        <v>-3.3006199999999999</v>
      </c>
      <c r="E875">
        <v>-0.22004000000000001</v>
      </c>
    </row>
    <row r="876" spans="2:5" x14ac:dyDescent="0.25">
      <c r="B876" t="s">
        <v>531</v>
      </c>
      <c r="C876">
        <v>37</v>
      </c>
      <c r="D876">
        <v>-8.1487300000000005</v>
      </c>
      <c r="E876">
        <v>-0.22023999999999999</v>
      </c>
    </row>
    <row r="877" spans="2:5" x14ac:dyDescent="0.25">
      <c r="B877" t="s">
        <v>854</v>
      </c>
      <c r="C877">
        <v>14</v>
      </c>
      <c r="D877">
        <v>-3.10385</v>
      </c>
      <c r="E877">
        <v>-0.22170000000000001</v>
      </c>
    </row>
    <row r="878" spans="2:5" x14ac:dyDescent="0.25">
      <c r="B878" t="s">
        <v>1004</v>
      </c>
      <c r="C878">
        <v>13</v>
      </c>
      <c r="D878">
        <v>-2.8842599999999998</v>
      </c>
      <c r="E878">
        <v>-0.22187000000000001</v>
      </c>
    </row>
    <row r="879" spans="2:5" x14ac:dyDescent="0.25">
      <c r="B879" t="s">
        <v>643</v>
      </c>
      <c r="C879">
        <v>2</v>
      </c>
      <c r="D879">
        <v>-0.44379000000000002</v>
      </c>
      <c r="E879">
        <v>-0.22189999999999999</v>
      </c>
    </row>
    <row r="880" spans="2:5" x14ac:dyDescent="0.25">
      <c r="B880" t="s">
        <v>625</v>
      </c>
      <c r="C880">
        <v>43</v>
      </c>
      <c r="D880">
        <v>-9.5962599999999991</v>
      </c>
      <c r="E880">
        <v>-0.22317000000000001</v>
      </c>
    </row>
    <row r="881" spans="2:5" x14ac:dyDescent="0.25">
      <c r="B881" t="s">
        <v>610</v>
      </c>
      <c r="C881">
        <v>26</v>
      </c>
      <c r="D881">
        <v>-5.8641899999999998</v>
      </c>
      <c r="E881">
        <v>-0.22555</v>
      </c>
    </row>
    <row r="882" spans="2:5" x14ac:dyDescent="0.25">
      <c r="B882" t="s">
        <v>549</v>
      </c>
      <c r="C882">
        <v>19</v>
      </c>
      <c r="D882">
        <v>-4.2993100000000002</v>
      </c>
      <c r="E882">
        <v>-0.22628000000000001</v>
      </c>
    </row>
    <row r="883" spans="2:5" x14ac:dyDescent="0.25">
      <c r="B883" t="s">
        <v>547</v>
      </c>
      <c r="C883">
        <v>18</v>
      </c>
      <c r="D883">
        <v>-4.0738500000000002</v>
      </c>
      <c r="E883">
        <v>-0.22631999999999999</v>
      </c>
    </row>
    <row r="884" spans="2:5" x14ac:dyDescent="0.25">
      <c r="B884" t="s">
        <v>636</v>
      </c>
      <c r="C884">
        <v>18</v>
      </c>
      <c r="D884">
        <v>-4.0980999999999996</v>
      </c>
      <c r="E884">
        <v>-0.22767000000000001</v>
      </c>
    </row>
    <row r="885" spans="2:5" x14ac:dyDescent="0.25">
      <c r="B885" t="s">
        <v>562</v>
      </c>
      <c r="C885">
        <v>51</v>
      </c>
      <c r="D885">
        <v>-11.64343</v>
      </c>
      <c r="E885">
        <v>-0.2283</v>
      </c>
    </row>
    <row r="886" spans="2:5" x14ac:dyDescent="0.25">
      <c r="B886" t="s">
        <v>756</v>
      </c>
      <c r="C886">
        <v>5</v>
      </c>
      <c r="D886">
        <v>-1.1508799999999999</v>
      </c>
      <c r="E886">
        <v>-0.23018</v>
      </c>
    </row>
    <row r="887" spans="2:5" x14ac:dyDescent="0.25">
      <c r="B887" t="s">
        <v>977</v>
      </c>
      <c r="C887">
        <v>11</v>
      </c>
      <c r="D887">
        <v>-2.5367700000000002</v>
      </c>
      <c r="E887">
        <v>-0.23061999999999999</v>
      </c>
    </row>
    <row r="888" spans="2:5" x14ac:dyDescent="0.25">
      <c r="B888" t="s">
        <v>845</v>
      </c>
      <c r="C888">
        <v>7</v>
      </c>
      <c r="D888">
        <v>-1.6197600000000001</v>
      </c>
      <c r="E888">
        <v>-0.23139000000000001</v>
      </c>
    </row>
    <row r="889" spans="2:5" x14ac:dyDescent="0.25">
      <c r="B889" t="s">
        <v>417</v>
      </c>
      <c r="C889">
        <v>34</v>
      </c>
      <c r="D889">
        <v>-7.8693099999999996</v>
      </c>
      <c r="E889">
        <v>-0.23144999999999999</v>
      </c>
    </row>
    <row r="890" spans="2:5" x14ac:dyDescent="0.25">
      <c r="B890" t="s">
        <v>319</v>
      </c>
      <c r="C890">
        <v>42</v>
      </c>
      <c r="D890">
        <v>-9.7514299999999992</v>
      </c>
      <c r="E890">
        <v>-0.23218</v>
      </c>
    </row>
    <row r="891" spans="2:5" x14ac:dyDescent="0.25">
      <c r="B891" t="s">
        <v>807</v>
      </c>
      <c r="C891">
        <v>2</v>
      </c>
      <c r="D891">
        <v>-0.46484999999999999</v>
      </c>
      <c r="E891">
        <v>-0.23243</v>
      </c>
    </row>
    <row r="892" spans="2:5" x14ac:dyDescent="0.25">
      <c r="B892" t="s">
        <v>856</v>
      </c>
      <c r="C892">
        <v>7</v>
      </c>
      <c r="D892">
        <v>-1.63121</v>
      </c>
      <c r="E892">
        <v>-0.23302999999999999</v>
      </c>
    </row>
    <row r="893" spans="2:5" x14ac:dyDescent="0.25">
      <c r="B893" t="s">
        <v>760</v>
      </c>
      <c r="C893">
        <v>13</v>
      </c>
      <c r="D893">
        <v>-3.0339299999999998</v>
      </c>
      <c r="E893">
        <v>-0.23338</v>
      </c>
    </row>
    <row r="894" spans="2:5" x14ac:dyDescent="0.25">
      <c r="B894" t="s">
        <v>1027</v>
      </c>
      <c r="C894">
        <v>2</v>
      </c>
      <c r="D894">
        <v>-0.46838000000000002</v>
      </c>
      <c r="E894">
        <v>-0.23419000000000001</v>
      </c>
    </row>
    <row r="895" spans="2:5" x14ac:dyDescent="0.25">
      <c r="B895" t="s">
        <v>591</v>
      </c>
      <c r="C895">
        <v>13</v>
      </c>
      <c r="D895">
        <v>-3.0461200000000002</v>
      </c>
      <c r="E895">
        <v>-0.23432</v>
      </c>
    </row>
    <row r="896" spans="2:5" x14ac:dyDescent="0.25">
      <c r="B896" t="s">
        <v>473</v>
      </c>
      <c r="C896">
        <v>55</v>
      </c>
      <c r="D896">
        <v>-12.90734</v>
      </c>
      <c r="E896">
        <v>-0.23468</v>
      </c>
    </row>
    <row r="897" spans="2:5" x14ac:dyDescent="0.25">
      <c r="B897" t="s">
        <v>559</v>
      </c>
      <c r="C897">
        <v>9</v>
      </c>
      <c r="D897">
        <v>-2.1124499999999999</v>
      </c>
      <c r="E897">
        <v>-0.23472000000000001</v>
      </c>
    </row>
    <row r="898" spans="2:5" x14ac:dyDescent="0.25">
      <c r="B898" t="s">
        <v>337</v>
      </c>
      <c r="C898">
        <v>1</v>
      </c>
      <c r="D898">
        <v>-0.23488999999999999</v>
      </c>
      <c r="E898">
        <v>-0.23488999999999999</v>
      </c>
    </row>
    <row r="899" spans="2:5" x14ac:dyDescent="0.25">
      <c r="B899" t="s">
        <v>532</v>
      </c>
      <c r="C899">
        <v>20</v>
      </c>
      <c r="D899">
        <v>-4.7266899999999996</v>
      </c>
      <c r="E899">
        <v>-0.23633000000000001</v>
      </c>
    </row>
    <row r="900" spans="2:5" x14ac:dyDescent="0.25">
      <c r="B900" t="s">
        <v>830</v>
      </c>
      <c r="C900">
        <v>1</v>
      </c>
      <c r="D900">
        <v>-0.23635</v>
      </c>
      <c r="E900">
        <v>-0.23635</v>
      </c>
    </row>
    <row r="901" spans="2:5" x14ac:dyDescent="0.25">
      <c r="B901" t="s">
        <v>901</v>
      </c>
      <c r="C901">
        <v>1</v>
      </c>
      <c r="D901">
        <v>-0.23635</v>
      </c>
      <c r="E901">
        <v>-0.23635</v>
      </c>
    </row>
    <row r="902" spans="2:5" x14ac:dyDescent="0.25">
      <c r="B902" t="s">
        <v>902</v>
      </c>
      <c r="C902">
        <v>1</v>
      </c>
      <c r="D902">
        <v>-0.23635</v>
      </c>
      <c r="E902">
        <v>-0.23635</v>
      </c>
    </row>
    <row r="903" spans="2:5" x14ac:dyDescent="0.25">
      <c r="B903" t="s">
        <v>961</v>
      </c>
      <c r="C903">
        <v>1</v>
      </c>
      <c r="D903">
        <v>-0.23635</v>
      </c>
      <c r="E903">
        <v>-0.23635</v>
      </c>
    </row>
    <row r="904" spans="2:5" x14ac:dyDescent="0.25">
      <c r="B904" t="s">
        <v>984</v>
      </c>
      <c r="C904">
        <v>1</v>
      </c>
      <c r="D904">
        <v>-0.23635</v>
      </c>
      <c r="E904">
        <v>-0.23635</v>
      </c>
    </row>
    <row r="905" spans="2:5" x14ac:dyDescent="0.25">
      <c r="B905" t="s">
        <v>991</v>
      </c>
      <c r="C905">
        <v>1</v>
      </c>
      <c r="D905">
        <v>-0.23635</v>
      </c>
      <c r="E905">
        <v>-0.23635</v>
      </c>
    </row>
    <row r="906" spans="2:5" x14ac:dyDescent="0.25">
      <c r="B906" t="s">
        <v>1008</v>
      </c>
      <c r="C906">
        <v>1</v>
      </c>
      <c r="D906">
        <v>-0.23635</v>
      </c>
      <c r="E906">
        <v>-0.23635</v>
      </c>
    </row>
    <row r="907" spans="2:5" x14ac:dyDescent="0.25">
      <c r="B907" t="s">
        <v>833</v>
      </c>
      <c r="C907">
        <v>15</v>
      </c>
      <c r="D907">
        <v>-3.5516399999999999</v>
      </c>
      <c r="E907">
        <v>-0.23677999999999999</v>
      </c>
    </row>
    <row r="908" spans="2:5" x14ac:dyDescent="0.25">
      <c r="B908" t="s">
        <v>475</v>
      </c>
      <c r="C908">
        <v>37</v>
      </c>
      <c r="D908">
        <v>-8.7692399999999999</v>
      </c>
      <c r="E908">
        <v>-0.23701</v>
      </c>
    </row>
    <row r="909" spans="2:5" x14ac:dyDescent="0.25">
      <c r="B909" t="s">
        <v>908</v>
      </c>
      <c r="C909">
        <v>3</v>
      </c>
      <c r="D909">
        <v>-0.71503000000000005</v>
      </c>
      <c r="E909">
        <v>-0.23834</v>
      </c>
    </row>
    <row r="910" spans="2:5" x14ac:dyDescent="0.25">
      <c r="B910" t="s">
        <v>759</v>
      </c>
      <c r="C910">
        <v>25</v>
      </c>
      <c r="D910">
        <v>-6.00108</v>
      </c>
      <c r="E910">
        <v>-0.24004</v>
      </c>
    </row>
    <row r="911" spans="2:5" x14ac:dyDescent="0.25">
      <c r="B911" t="s">
        <v>820</v>
      </c>
      <c r="C911">
        <v>5</v>
      </c>
      <c r="D911">
        <v>-1.20156</v>
      </c>
      <c r="E911">
        <v>-0.24031</v>
      </c>
    </row>
    <row r="912" spans="2:5" x14ac:dyDescent="0.25">
      <c r="B912" t="s">
        <v>573</v>
      </c>
      <c r="C912">
        <v>41</v>
      </c>
      <c r="D912">
        <v>-9.8743200000000009</v>
      </c>
      <c r="E912">
        <v>-0.24084</v>
      </c>
    </row>
    <row r="913" spans="2:5" x14ac:dyDescent="0.25">
      <c r="B913" t="s">
        <v>537</v>
      </c>
      <c r="C913">
        <v>64</v>
      </c>
      <c r="D913">
        <v>-15.46186</v>
      </c>
      <c r="E913">
        <v>-0.24159</v>
      </c>
    </row>
    <row r="914" spans="2:5" x14ac:dyDescent="0.25">
      <c r="B914" t="s">
        <v>915</v>
      </c>
      <c r="C914">
        <v>2</v>
      </c>
      <c r="D914">
        <v>-0.48653000000000002</v>
      </c>
      <c r="E914">
        <v>-0.24326</v>
      </c>
    </row>
    <row r="915" spans="2:5" x14ac:dyDescent="0.25">
      <c r="B915" t="s">
        <v>962</v>
      </c>
      <c r="C915">
        <v>2</v>
      </c>
      <c r="D915">
        <v>-0.48653000000000002</v>
      </c>
      <c r="E915">
        <v>-0.24326</v>
      </c>
    </row>
    <row r="916" spans="2:5" x14ac:dyDescent="0.25">
      <c r="B916" t="s">
        <v>994</v>
      </c>
      <c r="C916">
        <v>2</v>
      </c>
      <c r="D916">
        <v>-0.48653000000000002</v>
      </c>
      <c r="E916">
        <v>-0.24326</v>
      </c>
    </row>
    <row r="917" spans="2:5" x14ac:dyDescent="0.25">
      <c r="B917" t="s">
        <v>827</v>
      </c>
      <c r="C917">
        <v>4</v>
      </c>
      <c r="D917">
        <v>-0.97343999999999997</v>
      </c>
      <c r="E917">
        <v>-0.24335999999999999</v>
      </c>
    </row>
    <row r="918" spans="2:5" x14ac:dyDescent="0.25">
      <c r="B918" t="s">
        <v>855</v>
      </c>
      <c r="C918">
        <v>10</v>
      </c>
      <c r="D918">
        <v>-2.4359799999999998</v>
      </c>
      <c r="E918">
        <v>-0.24360000000000001</v>
      </c>
    </row>
    <row r="919" spans="2:5" x14ac:dyDescent="0.25">
      <c r="B919" t="s">
        <v>743</v>
      </c>
      <c r="C919">
        <v>4</v>
      </c>
      <c r="D919">
        <v>-0.97496000000000005</v>
      </c>
      <c r="E919">
        <v>-0.24374000000000001</v>
      </c>
    </row>
    <row r="920" spans="2:5" x14ac:dyDescent="0.25">
      <c r="B920" t="s">
        <v>749</v>
      </c>
      <c r="C920">
        <v>2</v>
      </c>
      <c r="D920">
        <v>-0.48804999999999998</v>
      </c>
      <c r="E920">
        <v>-0.24403</v>
      </c>
    </row>
    <row r="921" spans="2:5" x14ac:dyDescent="0.25">
      <c r="B921" t="s">
        <v>1015</v>
      </c>
      <c r="C921">
        <v>4</v>
      </c>
      <c r="D921">
        <v>-0.97662000000000004</v>
      </c>
      <c r="E921">
        <v>-0.24415000000000001</v>
      </c>
    </row>
    <row r="922" spans="2:5" x14ac:dyDescent="0.25">
      <c r="B922" t="s">
        <v>311</v>
      </c>
      <c r="C922">
        <v>42</v>
      </c>
      <c r="D922">
        <v>-10.308020000000001</v>
      </c>
      <c r="E922">
        <v>-0.24543000000000001</v>
      </c>
    </row>
    <row r="923" spans="2:5" x14ac:dyDescent="0.25">
      <c r="B923" t="s">
        <v>310</v>
      </c>
      <c r="C923">
        <v>58</v>
      </c>
      <c r="D923">
        <v>-14.445169999999999</v>
      </c>
      <c r="E923">
        <v>-0.24904999999999999</v>
      </c>
    </row>
    <row r="924" spans="2:5" x14ac:dyDescent="0.25">
      <c r="B924" t="s">
        <v>285</v>
      </c>
      <c r="C924">
        <v>66</v>
      </c>
      <c r="D924">
        <v>-16.472090000000001</v>
      </c>
      <c r="E924">
        <v>-0.24958</v>
      </c>
    </row>
    <row r="925" spans="2:5" x14ac:dyDescent="0.25">
      <c r="B925" t="s">
        <v>541</v>
      </c>
      <c r="C925">
        <v>25</v>
      </c>
      <c r="D925">
        <v>-6.2524100000000002</v>
      </c>
      <c r="E925">
        <v>-0.25009999999999999</v>
      </c>
    </row>
    <row r="926" spans="2:5" x14ac:dyDescent="0.25">
      <c r="B926" t="s">
        <v>561</v>
      </c>
      <c r="C926">
        <v>2</v>
      </c>
      <c r="D926">
        <v>-0.50034999999999996</v>
      </c>
      <c r="E926">
        <v>-0.25018000000000001</v>
      </c>
    </row>
    <row r="927" spans="2:5" x14ac:dyDescent="0.25">
      <c r="B927" t="s">
        <v>769</v>
      </c>
      <c r="C927">
        <v>1</v>
      </c>
      <c r="D927">
        <v>-0.25018000000000001</v>
      </c>
      <c r="E927">
        <v>-0.25018000000000001</v>
      </c>
    </row>
    <row r="928" spans="2:5" x14ac:dyDescent="0.25">
      <c r="B928" t="s">
        <v>832</v>
      </c>
      <c r="C928">
        <v>1</v>
      </c>
      <c r="D928">
        <v>-0.25018000000000001</v>
      </c>
      <c r="E928">
        <v>-0.25018000000000001</v>
      </c>
    </row>
    <row r="929" spans="2:5" x14ac:dyDescent="0.25">
      <c r="B929" t="s">
        <v>858</v>
      </c>
      <c r="C929">
        <v>1</v>
      </c>
      <c r="D929">
        <v>-0.25018000000000001</v>
      </c>
      <c r="E929">
        <v>-0.25018000000000001</v>
      </c>
    </row>
    <row r="930" spans="2:5" x14ac:dyDescent="0.25">
      <c r="B930" t="s">
        <v>870</v>
      </c>
      <c r="C930">
        <v>1</v>
      </c>
      <c r="D930">
        <v>-0.25018000000000001</v>
      </c>
      <c r="E930">
        <v>-0.25018000000000001</v>
      </c>
    </row>
    <row r="931" spans="2:5" x14ac:dyDescent="0.25">
      <c r="B931" t="s">
        <v>897</v>
      </c>
      <c r="C931">
        <v>1</v>
      </c>
      <c r="D931">
        <v>-0.25018000000000001</v>
      </c>
      <c r="E931">
        <v>-0.25018000000000001</v>
      </c>
    </row>
    <row r="932" spans="2:5" x14ac:dyDescent="0.25">
      <c r="B932" t="s">
        <v>907</v>
      </c>
      <c r="C932">
        <v>1</v>
      </c>
      <c r="D932">
        <v>-0.25018000000000001</v>
      </c>
      <c r="E932">
        <v>-0.25018000000000001</v>
      </c>
    </row>
    <row r="933" spans="2:5" x14ac:dyDescent="0.25">
      <c r="B933" t="s">
        <v>943</v>
      </c>
      <c r="C933">
        <v>1</v>
      </c>
      <c r="D933">
        <v>-0.25018000000000001</v>
      </c>
      <c r="E933">
        <v>-0.25018000000000001</v>
      </c>
    </row>
    <row r="934" spans="2:5" x14ac:dyDescent="0.25">
      <c r="B934" t="s">
        <v>951</v>
      </c>
      <c r="C934">
        <v>1</v>
      </c>
      <c r="D934">
        <v>-0.25018000000000001</v>
      </c>
      <c r="E934">
        <v>-0.25018000000000001</v>
      </c>
    </row>
    <row r="935" spans="2:5" x14ac:dyDescent="0.25">
      <c r="B935" t="s">
        <v>964</v>
      </c>
      <c r="C935">
        <v>1</v>
      </c>
      <c r="D935">
        <v>-0.25018000000000001</v>
      </c>
      <c r="E935">
        <v>-0.25018000000000001</v>
      </c>
    </row>
    <row r="936" spans="2:5" x14ac:dyDescent="0.25">
      <c r="B936" t="s">
        <v>1002</v>
      </c>
      <c r="C936">
        <v>1</v>
      </c>
      <c r="D936">
        <v>-0.25018000000000001</v>
      </c>
      <c r="E936">
        <v>-0.25018000000000001</v>
      </c>
    </row>
    <row r="937" spans="2:5" x14ac:dyDescent="0.25">
      <c r="B937" t="s">
        <v>1012</v>
      </c>
      <c r="C937">
        <v>1</v>
      </c>
      <c r="D937">
        <v>-0.25018000000000001</v>
      </c>
      <c r="E937">
        <v>-0.25018000000000001</v>
      </c>
    </row>
    <row r="938" spans="2:5" x14ac:dyDescent="0.25">
      <c r="B938" t="s">
        <v>1029</v>
      </c>
      <c r="C938">
        <v>1</v>
      </c>
      <c r="D938">
        <v>-0.25018000000000001</v>
      </c>
      <c r="E938">
        <v>-0.25018000000000001</v>
      </c>
    </row>
    <row r="939" spans="2:5" x14ac:dyDescent="0.25">
      <c r="B939" t="s">
        <v>1036</v>
      </c>
      <c r="C939">
        <v>1</v>
      </c>
      <c r="D939">
        <v>-0.25018000000000001</v>
      </c>
      <c r="E939">
        <v>-0.25018000000000001</v>
      </c>
    </row>
    <row r="940" spans="2:5" x14ac:dyDescent="0.25">
      <c r="B940" t="s">
        <v>1042</v>
      </c>
      <c r="C940">
        <v>1</v>
      </c>
      <c r="D940">
        <v>-0.25018000000000001</v>
      </c>
      <c r="E940">
        <v>-0.25018000000000001</v>
      </c>
    </row>
    <row r="941" spans="2:5" x14ac:dyDescent="0.25">
      <c r="B941" t="s">
        <v>1046</v>
      </c>
      <c r="C941">
        <v>1</v>
      </c>
      <c r="D941">
        <v>-0.25018000000000001</v>
      </c>
      <c r="E941">
        <v>-0.25018000000000001</v>
      </c>
    </row>
    <row r="942" spans="2:5" x14ac:dyDescent="0.25">
      <c r="B942" t="s">
        <v>1050</v>
      </c>
      <c r="C942">
        <v>1</v>
      </c>
      <c r="D942">
        <v>-0.25018000000000001</v>
      </c>
      <c r="E942">
        <v>-0.25018000000000001</v>
      </c>
    </row>
    <row r="943" spans="2:5" x14ac:dyDescent="0.25">
      <c r="B943" t="s">
        <v>788</v>
      </c>
      <c r="C943">
        <v>5</v>
      </c>
      <c r="D943">
        <v>-1.2529399999999999</v>
      </c>
      <c r="E943">
        <v>-0.25058999999999998</v>
      </c>
    </row>
    <row r="944" spans="2:5" x14ac:dyDescent="0.25">
      <c r="B944" t="s">
        <v>913</v>
      </c>
      <c r="C944">
        <v>11</v>
      </c>
      <c r="D944">
        <v>-2.7623700000000002</v>
      </c>
      <c r="E944">
        <v>-0.25112000000000001</v>
      </c>
    </row>
    <row r="945" spans="2:5" x14ac:dyDescent="0.25">
      <c r="B945" t="s">
        <v>516</v>
      </c>
      <c r="C945">
        <v>41</v>
      </c>
      <c r="D945">
        <v>-10.38345</v>
      </c>
      <c r="E945">
        <v>-0.25324999999999998</v>
      </c>
    </row>
    <row r="946" spans="2:5" x14ac:dyDescent="0.25">
      <c r="B946" t="s">
        <v>554</v>
      </c>
      <c r="C946">
        <v>5</v>
      </c>
      <c r="D946">
        <v>-1.27871</v>
      </c>
      <c r="E946">
        <v>-0.25574000000000002</v>
      </c>
    </row>
    <row r="947" spans="2:5" x14ac:dyDescent="0.25">
      <c r="B947" t="s">
        <v>851</v>
      </c>
      <c r="C947">
        <v>6</v>
      </c>
      <c r="D947">
        <v>-1.5365800000000001</v>
      </c>
      <c r="E947">
        <v>-0.25609999999999999</v>
      </c>
    </row>
    <row r="948" spans="2:5" x14ac:dyDescent="0.25">
      <c r="B948" t="s">
        <v>590</v>
      </c>
      <c r="C948">
        <v>18</v>
      </c>
      <c r="D948">
        <v>-4.6391900000000001</v>
      </c>
      <c r="E948">
        <v>-0.25773000000000001</v>
      </c>
    </row>
    <row r="949" spans="2:5" x14ac:dyDescent="0.25">
      <c r="B949" t="s">
        <v>721</v>
      </c>
      <c r="C949">
        <v>16</v>
      </c>
      <c r="D949">
        <v>-4.1334099999999996</v>
      </c>
      <c r="E949">
        <v>-0.25834000000000001</v>
      </c>
    </row>
    <row r="950" spans="2:5" x14ac:dyDescent="0.25">
      <c r="B950" t="s">
        <v>753</v>
      </c>
      <c r="C950">
        <v>8</v>
      </c>
      <c r="D950">
        <v>-2.0905</v>
      </c>
      <c r="E950">
        <v>-0.26130999999999999</v>
      </c>
    </row>
    <row r="951" spans="2:5" x14ac:dyDescent="0.25">
      <c r="B951" t="s">
        <v>500</v>
      </c>
      <c r="C951">
        <v>6</v>
      </c>
      <c r="D951">
        <v>-1.5824800000000001</v>
      </c>
      <c r="E951">
        <v>-0.26374999999999998</v>
      </c>
    </row>
    <row r="952" spans="2:5" x14ac:dyDescent="0.25">
      <c r="B952" t="s">
        <v>464</v>
      </c>
      <c r="C952">
        <v>14</v>
      </c>
      <c r="D952">
        <v>-3.71441</v>
      </c>
      <c r="E952">
        <v>-0.26532</v>
      </c>
    </row>
    <row r="953" spans="2:5" x14ac:dyDescent="0.25">
      <c r="B953" t="s">
        <v>514</v>
      </c>
      <c r="C953">
        <v>43</v>
      </c>
      <c r="D953">
        <v>-11.43839</v>
      </c>
      <c r="E953">
        <v>-0.26601000000000002</v>
      </c>
    </row>
    <row r="954" spans="2:5" x14ac:dyDescent="0.25">
      <c r="B954" t="s">
        <v>842</v>
      </c>
      <c r="C954">
        <v>6</v>
      </c>
      <c r="D954">
        <v>-1.62696</v>
      </c>
      <c r="E954">
        <v>-0.27116000000000001</v>
      </c>
    </row>
    <row r="955" spans="2:5" x14ac:dyDescent="0.25">
      <c r="B955" t="s">
        <v>972</v>
      </c>
      <c r="C955">
        <v>5</v>
      </c>
      <c r="D955">
        <v>-1.3586800000000001</v>
      </c>
      <c r="E955">
        <v>-0.27173999999999998</v>
      </c>
    </row>
    <row r="956" spans="2:5" x14ac:dyDescent="0.25">
      <c r="B956" t="s">
        <v>334</v>
      </c>
      <c r="C956">
        <v>35</v>
      </c>
      <c r="D956">
        <v>-9.5357500000000002</v>
      </c>
      <c r="E956">
        <v>-0.27245000000000003</v>
      </c>
    </row>
    <row r="957" spans="2:5" x14ac:dyDescent="0.25">
      <c r="B957" t="s">
        <v>623</v>
      </c>
      <c r="C957">
        <v>24</v>
      </c>
      <c r="D957">
        <v>-6.5634399999999999</v>
      </c>
      <c r="E957">
        <v>-0.27348</v>
      </c>
    </row>
    <row r="958" spans="2:5" x14ac:dyDescent="0.25">
      <c r="B958" t="s">
        <v>865</v>
      </c>
      <c r="C958">
        <v>4</v>
      </c>
      <c r="D958">
        <v>-1.09853</v>
      </c>
      <c r="E958">
        <v>-0.27462999999999999</v>
      </c>
    </row>
    <row r="959" spans="2:5" x14ac:dyDescent="0.25">
      <c r="B959" t="s">
        <v>795</v>
      </c>
      <c r="C959">
        <v>2</v>
      </c>
      <c r="D959">
        <v>-0.55020999999999998</v>
      </c>
      <c r="E959">
        <v>-0.27510000000000001</v>
      </c>
    </row>
    <row r="960" spans="2:5" x14ac:dyDescent="0.25">
      <c r="B960" t="s">
        <v>919</v>
      </c>
      <c r="C960">
        <v>4</v>
      </c>
      <c r="D960">
        <v>-1.1023799999999999</v>
      </c>
      <c r="E960">
        <v>-0.27559</v>
      </c>
    </row>
    <row r="961" spans="2:5" x14ac:dyDescent="0.25">
      <c r="B961" t="s">
        <v>521</v>
      </c>
      <c r="C961">
        <v>6</v>
      </c>
      <c r="D961">
        <v>-1.6640299999999999</v>
      </c>
      <c r="E961">
        <v>-0.27733999999999998</v>
      </c>
    </row>
    <row r="962" spans="2:5" x14ac:dyDescent="0.25">
      <c r="B962" t="s">
        <v>873</v>
      </c>
      <c r="C962">
        <v>4</v>
      </c>
      <c r="D962">
        <v>-1.1126</v>
      </c>
      <c r="E962">
        <v>-0.27815000000000001</v>
      </c>
    </row>
    <row r="963" spans="2:5" x14ac:dyDescent="0.25">
      <c r="B963" t="s">
        <v>546</v>
      </c>
      <c r="C963">
        <v>36</v>
      </c>
      <c r="D963">
        <v>-10.04547</v>
      </c>
      <c r="E963">
        <v>-0.27904000000000001</v>
      </c>
    </row>
    <row r="964" spans="2:5" x14ac:dyDescent="0.25">
      <c r="B964" t="s">
        <v>344</v>
      </c>
      <c r="C964">
        <v>63</v>
      </c>
      <c r="D964">
        <v>-17.819569999999999</v>
      </c>
      <c r="E964">
        <v>-0.28284999999999999</v>
      </c>
    </row>
    <row r="965" spans="2:5" x14ac:dyDescent="0.25">
      <c r="B965" t="s">
        <v>430</v>
      </c>
      <c r="C965">
        <v>47</v>
      </c>
      <c r="D965">
        <v>-13.40771</v>
      </c>
      <c r="E965">
        <v>-0.28527000000000002</v>
      </c>
    </row>
    <row r="966" spans="2:5" x14ac:dyDescent="0.25">
      <c r="B966" t="s">
        <v>1040</v>
      </c>
      <c r="C966">
        <v>2</v>
      </c>
      <c r="D966">
        <v>-0.57191000000000003</v>
      </c>
      <c r="E966">
        <v>-0.28595999999999999</v>
      </c>
    </row>
    <row r="967" spans="2:5" x14ac:dyDescent="0.25">
      <c r="B967" t="s">
        <v>786</v>
      </c>
      <c r="C967">
        <v>7</v>
      </c>
      <c r="D967">
        <v>-2.02956</v>
      </c>
      <c r="E967">
        <v>-0.28993999999999998</v>
      </c>
    </row>
    <row r="968" spans="2:5" x14ac:dyDescent="0.25">
      <c r="B968" t="s">
        <v>583</v>
      </c>
      <c r="C968">
        <v>6</v>
      </c>
      <c r="D968">
        <v>-1.75254</v>
      </c>
      <c r="E968">
        <v>-0.29209000000000002</v>
      </c>
    </row>
    <row r="969" spans="2:5" x14ac:dyDescent="0.25">
      <c r="B969" t="s">
        <v>993</v>
      </c>
      <c r="C969">
        <v>4</v>
      </c>
      <c r="D969">
        <v>-1.1686300000000001</v>
      </c>
      <c r="E969">
        <v>-0.29215999999999998</v>
      </c>
    </row>
    <row r="970" spans="2:5" x14ac:dyDescent="0.25">
      <c r="B970" t="s">
        <v>960</v>
      </c>
      <c r="C970">
        <v>2</v>
      </c>
      <c r="D970">
        <v>-0.59062999999999999</v>
      </c>
      <c r="E970">
        <v>-0.29531000000000002</v>
      </c>
    </row>
    <row r="971" spans="2:5" x14ac:dyDescent="0.25">
      <c r="B971" t="s">
        <v>379</v>
      </c>
      <c r="C971">
        <v>20</v>
      </c>
      <c r="D971">
        <v>-5.9112499999999999</v>
      </c>
      <c r="E971">
        <v>-0.29555999999999999</v>
      </c>
    </row>
    <row r="972" spans="2:5" x14ac:dyDescent="0.25">
      <c r="B972" t="s">
        <v>628</v>
      </c>
      <c r="C972">
        <v>4</v>
      </c>
      <c r="D972">
        <v>-1.1879999999999999</v>
      </c>
      <c r="E972">
        <v>-0.29699999999999999</v>
      </c>
    </row>
    <row r="973" spans="2:5" x14ac:dyDescent="0.25">
      <c r="B973" t="s">
        <v>773</v>
      </c>
      <c r="C973">
        <v>2</v>
      </c>
      <c r="D973">
        <v>-0.59874000000000005</v>
      </c>
      <c r="E973">
        <v>-0.29937000000000002</v>
      </c>
    </row>
    <row r="974" spans="2:5" x14ac:dyDescent="0.25">
      <c r="B974" t="s">
        <v>642</v>
      </c>
      <c r="C974">
        <v>1</v>
      </c>
      <c r="D974">
        <v>-0.30003000000000002</v>
      </c>
      <c r="E974">
        <v>-0.30003000000000002</v>
      </c>
    </row>
    <row r="975" spans="2:5" x14ac:dyDescent="0.25">
      <c r="B975" t="s">
        <v>825</v>
      </c>
      <c r="C975">
        <v>1</v>
      </c>
      <c r="D975">
        <v>-0.30003000000000002</v>
      </c>
      <c r="E975">
        <v>-0.30003000000000002</v>
      </c>
    </row>
    <row r="976" spans="2:5" x14ac:dyDescent="0.25">
      <c r="B976" t="s">
        <v>969</v>
      </c>
      <c r="C976">
        <v>1</v>
      </c>
      <c r="D976">
        <v>-0.30003000000000002</v>
      </c>
      <c r="E976">
        <v>-0.30003000000000002</v>
      </c>
    </row>
    <row r="977" spans="2:5" x14ac:dyDescent="0.25">
      <c r="B977" t="s">
        <v>990</v>
      </c>
      <c r="C977">
        <v>1</v>
      </c>
      <c r="D977">
        <v>-0.30003000000000002</v>
      </c>
      <c r="E977">
        <v>-0.30003000000000002</v>
      </c>
    </row>
    <row r="978" spans="2:5" x14ac:dyDescent="0.25">
      <c r="B978" t="s">
        <v>740</v>
      </c>
      <c r="C978">
        <v>24</v>
      </c>
      <c r="D978">
        <v>-7.2041899999999996</v>
      </c>
      <c r="E978">
        <v>-0.30016999999999999</v>
      </c>
    </row>
    <row r="979" spans="2:5" x14ac:dyDescent="0.25">
      <c r="B979" t="s">
        <v>920</v>
      </c>
      <c r="C979">
        <v>5</v>
      </c>
      <c r="D979">
        <v>-1.5075700000000001</v>
      </c>
      <c r="E979">
        <v>-0.30151</v>
      </c>
    </row>
    <row r="980" spans="2:5" x14ac:dyDescent="0.25">
      <c r="B980" t="s">
        <v>864</v>
      </c>
      <c r="C980">
        <v>2</v>
      </c>
      <c r="D980">
        <v>-0.61255999999999999</v>
      </c>
      <c r="E980">
        <v>-0.30628</v>
      </c>
    </row>
    <row r="981" spans="2:5" x14ac:dyDescent="0.25">
      <c r="B981" t="s">
        <v>917</v>
      </c>
      <c r="C981">
        <v>2</v>
      </c>
      <c r="D981">
        <v>-0.61255999999999999</v>
      </c>
      <c r="E981">
        <v>-0.30628</v>
      </c>
    </row>
    <row r="982" spans="2:5" x14ac:dyDescent="0.25">
      <c r="B982" t="s">
        <v>302</v>
      </c>
      <c r="C982">
        <v>2</v>
      </c>
      <c r="D982">
        <v>-0.62326999999999999</v>
      </c>
      <c r="E982">
        <v>-0.31163000000000002</v>
      </c>
    </row>
    <row r="983" spans="2:5" x14ac:dyDescent="0.25">
      <c r="B983" t="s">
        <v>351</v>
      </c>
      <c r="C983">
        <v>4</v>
      </c>
      <c r="D983">
        <v>-1.2528699999999999</v>
      </c>
      <c r="E983">
        <v>-0.31322</v>
      </c>
    </row>
    <row r="984" spans="2:5" x14ac:dyDescent="0.25">
      <c r="B984" t="s">
        <v>950</v>
      </c>
      <c r="C984">
        <v>4</v>
      </c>
      <c r="D984">
        <v>-1.2561899999999999</v>
      </c>
      <c r="E984">
        <v>-0.31405</v>
      </c>
    </row>
    <row r="985" spans="2:5" x14ac:dyDescent="0.25">
      <c r="B985" t="s">
        <v>1018</v>
      </c>
      <c r="C985">
        <v>4</v>
      </c>
      <c r="D985">
        <v>-1.27077</v>
      </c>
      <c r="E985">
        <v>-0.31768999999999997</v>
      </c>
    </row>
    <row r="986" spans="2:5" x14ac:dyDescent="0.25">
      <c r="B986" t="s">
        <v>911</v>
      </c>
      <c r="C986">
        <v>3</v>
      </c>
      <c r="D986">
        <v>-0.96626999999999996</v>
      </c>
      <c r="E986">
        <v>-0.32208999999999999</v>
      </c>
    </row>
    <row r="987" spans="2:5" x14ac:dyDescent="0.25">
      <c r="B987" t="s">
        <v>876</v>
      </c>
      <c r="C987">
        <v>7</v>
      </c>
      <c r="D987">
        <v>-2.26275</v>
      </c>
      <c r="E987">
        <v>-0.32324999999999998</v>
      </c>
    </row>
    <row r="988" spans="2:5" x14ac:dyDescent="0.25">
      <c r="B988" t="s">
        <v>939</v>
      </c>
      <c r="C988">
        <v>4</v>
      </c>
      <c r="D988">
        <v>-1.2984800000000001</v>
      </c>
      <c r="E988">
        <v>-0.32462000000000002</v>
      </c>
    </row>
    <row r="989" spans="2:5" x14ac:dyDescent="0.25">
      <c r="B989" t="s">
        <v>811</v>
      </c>
      <c r="C989">
        <v>6</v>
      </c>
      <c r="D989">
        <v>-1.9491099999999999</v>
      </c>
      <c r="E989">
        <v>-0.32485000000000003</v>
      </c>
    </row>
    <row r="990" spans="2:5" x14ac:dyDescent="0.25">
      <c r="B990" t="s">
        <v>400</v>
      </c>
      <c r="C990">
        <v>1</v>
      </c>
      <c r="D990">
        <v>-0.32527</v>
      </c>
      <c r="E990">
        <v>-0.32527</v>
      </c>
    </row>
    <row r="991" spans="2:5" x14ac:dyDescent="0.25">
      <c r="B991" t="s">
        <v>632</v>
      </c>
      <c r="C991">
        <v>1</v>
      </c>
      <c r="D991">
        <v>-0.32527</v>
      </c>
      <c r="E991">
        <v>-0.32527</v>
      </c>
    </row>
    <row r="992" spans="2:5" x14ac:dyDescent="0.25">
      <c r="B992" t="s">
        <v>783</v>
      </c>
      <c r="C992">
        <v>1</v>
      </c>
      <c r="D992">
        <v>-0.32527</v>
      </c>
      <c r="E992">
        <v>-0.32527</v>
      </c>
    </row>
    <row r="993" spans="2:5" x14ac:dyDescent="0.25">
      <c r="B993" t="s">
        <v>963</v>
      </c>
      <c r="C993">
        <v>1</v>
      </c>
      <c r="D993">
        <v>-0.32527</v>
      </c>
      <c r="E993">
        <v>-0.32527</v>
      </c>
    </row>
    <row r="994" spans="2:5" x14ac:dyDescent="0.25">
      <c r="B994" t="s">
        <v>1000</v>
      </c>
      <c r="C994">
        <v>3</v>
      </c>
      <c r="D994">
        <v>-0.98648000000000002</v>
      </c>
      <c r="E994">
        <v>-0.32883000000000001</v>
      </c>
    </row>
    <row r="995" spans="2:5" x14ac:dyDescent="0.25">
      <c r="B995" t="s">
        <v>755</v>
      </c>
      <c r="C995">
        <v>9</v>
      </c>
      <c r="D995">
        <v>-2.9601899999999999</v>
      </c>
      <c r="E995">
        <v>-0.32890999999999998</v>
      </c>
    </row>
    <row r="996" spans="2:5" x14ac:dyDescent="0.25">
      <c r="B996" t="s">
        <v>476</v>
      </c>
      <c r="C996">
        <v>11</v>
      </c>
      <c r="D996">
        <v>-3.6281599999999998</v>
      </c>
      <c r="E996">
        <v>-0.32983000000000001</v>
      </c>
    </row>
    <row r="997" spans="2:5" x14ac:dyDescent="0.25">
      <c r="B997" t="s">
        <v>356</v>
      </c>
      <c r="C997">
        <v>4</v>
      </c>
      <c r="D997">
        <v>-1.35734</v>
      </c>
      <c r="E997">
        <v>-0.33933000000000002</v>
      </c>
    </row>
    <row r="998" spans="2:5" x14ac:dyDescent="0.25">
      <c r="B998" t="s">
        <v>560</v>
      </c>
      <c r="C998">
        <v>6</v>
      </c>
      <c r="D998">
        <v>-2.0571899999999999</v>
      </c>
      <c r="E998">
        <v>-0.34287000000000001</v>
      </c>
    </row>
    <row r="999" spans="2:5" x14ac:dyDescent="0.25">
      <c r="B999" t="s">
        <v>745</v>
      </c>
      <c r="C999">
        <v>2</v>
      </c>
      <c r="D999">
        <v>-0.70120000000000005</v>
      </c>
      <c r="E999">
        <v>-0.35060000000000002</v>
      </c>
    </row>
    <row r="1000" spans="2:5" x14ac:dyDescent="0.25">
      <c r="B1000" t="s">
        <v>874</v>
      </c>
      <c r="C1000">
        <v>5</v>
      </c>
      <c r="D1000">
        <v>-1.75769</v>
      </c>
      <c r="E1000">
        <v>-0.35154000000000002</v>
      </c>
    </row>
    <row r="1001" spans="2:5" x14ac:dyDescent="0.25">
      <c r="B1001" t="s">
        <v>810</v>
      </c>
      <c r="C1001">
        <v>2</v>
      </c>
      <c r="D1001">
        <v>-0.70598000000000005</v>
      </c>
      <c r="E1001">
        <v>-0.35299000000000003</v>
      </c>
    </row>
    <row r="1002" spans="2:5" x14ac:dyDescent="0.25">
      <c r="B1002" t="s">
        <v>567</v>
      </c>
      <c r="C1002">
        <v>6</v>
      </c>
      <c r="D1002">
        <v>-2.1209500000000001</v>
      </c>
      <c r="E1002">
        <v>-0.35349000000000003</v>
      </c>
    </row>
    <row r="1003" spans="2:5" x14ac:dyDescent="0.25">
      <c r="B1003" t="s">
        <v>836</v>
      </c>
      <c r="C1003">
        <v>2</v>
      </c>
      <c r="D1003">
        <v>-0.70733000000000001</v>
      </c>
      <c r="E1003">
        <v>-0.35365999999999997</v>
      </c>
    </row>
    <row r="1004" spans="2:5" x14ac:dyDescent="0.25">
      <c r="B1004" t="s">
        <v>921</v>
      </c>
      <c r="C1004">
        <v>6</v>
      </c>
      <c r="D1004">
        <v>-2.1435</v>
      </c>
      <c r="E1004">
        <v>-0.35725000000000001</v>
      </c>
    </row>
    <row r="1005" spans="2:5" x14ac:dyDescent="0.25">
      <c r="B1005" t="s">
        <v>935</v>
      </c>
      <c r="C1005">
        <v>2</v>
      </c>
      <c r="D1005">
        <v>-0.71609999999999996</v>
      </c>
      <c r="E1005">
        <v>-0.35804999999999998</v>
      </c>
    </row>
    <row r="1006" spans="2:5" x14ac:dyDescent="0.25">
      <c r="B1006" t="s">
        <v>843</v>
      </c>
      <c r="C1006">
        <v>6</v>
      </c>
      <c r="D1006">
        <v>-2.1587900000000002</v>
      </c>
      <c r="E1006">
        <v>-0.35980000000000001</v>
      </c>
    </row>
    <row r="1007" spans="2:5" x14ac:dyDescent="0.25">
      <c r="B1007" t="s">
        <v>770</v>
      </c>
      <c r="C1007">
        <v>2</v>
      </c>
      <c r="D1007">
        <v>-0.72135000000000005</v>
      </c>
      <c r="E1007">
        <v>-0.36066999999999999</v>
      </c>
    </row>
    <row r="1008" spans="2:5" x14ac:dyDescent="0.25">
      <c r="B1008" t="s">
        <v>668</v>
      </c>
      <c r="C1008">
        <v>3</v>
      </c>
      <c r="D1008">
        <v>-1.0884400000000001</v>
      </c>
      <c r="E1008">
        <v>-0.36281000000000002</v>
      </c>
    </row>
    <row r="1009" spans="2:5" x14ac:dyDescent="0.25">
      <c r="B1009" t="s">
        <v>887</v>
      </c>
      <c r="C1009">
        <v>4</v>
      </c>
      <c r="D1009">
        <v>-1.4782999999999999</v>
      </c>
      <c r="E1009">
        <v>-0.36958000000000002</v>
      </c>
    </row>
    <row r="1010" spans="2:5" x14ac:dyDescent="0.25">
      <c r="B1010" t="s">
        <v>479</v>
      </c>
      <c r="C1010">
        <v>8</v>
      </c>
      <c r="D1010">
        <v>-2.9720200000000001</v>
      </c>
      <c r="E1010">
        <v>-0.3715</v>
      </c>
    </row>
    <row r="1011" spans="2:5" x14ac:dyDescent="0.25">
      <c r="B1011" t="s">
        <v>497</v>
      </c>
      <c r="C1011">
        <v>4</v>
      </c>
      <c r="D1011">
        <v>-1.4987999999999999</v>
      </c>
      <c r="E1011">
        <v>-0.37469999999999998</v>
      </c>
    </row>
    <row r="1012" spans="2:5" x14ac:dyDescent="0.25">
      <c r="B1012" t="s">
        <v>975</v>
      </c>
      <c r="C1012">
        <v>1</v>
      </c>
      <c r="D1012">
        <v>-0.38206000000000001</v>
      </c>
      <c r="E1012">
        <v>-0.38206000000000001</v>
      </c>
    </row>
    <row r="1013" spans="2:5" x14ac:dyDescent="0.25">
      <c r="B1013" t="s">
        <v>1026</v>
      </c>
      <c r="C1013">
        <v>1</v>
      </c>
      <c r="D1013">
        <v>-0.38206000000000001</v>
      </c>
      <c r="E1013">
        <v>-0.38206000000000001</v>
      </c>
    </row>
    <row r="1014" spans="2:5" x14ac:dyDescent="0.25">
      <c r="B1014" t="s">
        <v>693</v>
      </c>
      <c r="C1014">
        <v>2</v>
      </c>
      <c r="D1014">
        <v>-0.76746000000000003</v>
      </c>
      <c r="E1014">
        <v>-0.38373000000000002</v>
      </c>
    </row>
    <row r="1015" spans="2:5" x14ac:dyDescent="0.25">
      <c r="B1015" t="s">
        <v>800</v>
      </c>
      <c r="C1015">
        <v>1</v>
      </c>
      <c r="D1015">
        <v>-0.38616</v>
      </c>
      <c r="E1015">
        <v>-0.38616</v>
      </c>
    </row>
    <row r="1016" spans="2:5" x14ac:dyDescent="0.25">
      <c r="B1016" t="s">
        <v>938</v>
      </c>
      <c r="C1016">
        <v>1</v>
      </c>
      <c r="D1016">
        <v>-0.38616</v>
      </c>
      <c r="E1016">
        <v>-0.38616</v>
      </c>
    </row>
    <row r="1017" spans="2:5" x14ac:dyDescent="0.25">
      <c r="B1017" t="s">
        <v>945</v>
      </c>
      <c r="C1017">
        <v>1</v>
      </c>
      <c r="D1017">
        <v>-0.38616</v>
      </c>
      <c r="E1017">
        <v>-0.38616</v>
      </c>
    </row>
    <row r="1018" spans="2:5" x14ac:dyDescent="0.25">
      <c r="B1018" t="s">
        <v>947</v>
      </c>
      <c r="C1018">
        <v>1</v>
      </c>
      <c r="D1018">
        <v>-0.38616</v>
      </c>
      <c r="E1018">
        <v>-0.38616</v>
      </c>
    </row>
    <row r="1019" spans="2:5" x14ac:dyDescent="0.25">
      <c r="B1019" t="s">
        <v>513</v>
      </c>
      <c r="C1019">
        <v>3</v>
      </c>
      <c r="D1019">
        <v>-1.1887300000000001</v>
      </c>
      <c r="E1019">
        <v>-0.39623999999999998</v>
      </c>
    </row>
    <row r="1020" spans="2:5" x14ac:dyDescent="0.25">
      <c r="B1020" t="s">
        <v>906</v>
      </c>
      <c r="C1020">
        <v>4</v>
      </c>
      <c r="D1020">
        <v>-1.6289400000000001</v>
      </c>
      <c r="E1020">
        <v>-0.40722999999999998</v>
      </c>
    </row>
    <row r="1021" spans="2:5" x14ac:dyDescent="0.25">
      <c r="B1021" t="s">
        <v>768</v>
      </c>
      <c r="C1021">
        <v>3</v>
      </c>
      <c r="D1021">
        <v>-1.2315499999999999</v>
      </c>
      <c r="E1021">
        <v>-0.41052</v>
      </c>
    </row>
    <row r="1022" spans="2:5" x14ac:dyDescent="0.25">
      <c r="B1022" t="s">
        <v>801</v>
      </c>
      <c r="C1022">
        <v>2</v>
      </c>
      <c r="D1022">
        <v>-0.82772000000000001</v>
      </c>
      <c r="E1022">
        <v>-0.41386000000000001</v>
      </c>
    </row>
    <row r="1023" spans="2:5" x14ac:dyDescent="0.25">
      <c r="B1023" t="s">
        <v>1049</v>
      </c>
      <c r="C1023">
        <v>2</v>
      </c>
      <c r="D1023">
        <v>-0.82830999999999999</v>
      </c>
      <c r="E1023">
        <v>-0.41415000000000002</v>
      </c>
    </row>
    <row r="1024" spans="2:5" x14ac:dyDescent="0.25">
      <c r="B1024" t="s">
        <v>539</v>
      </c>
      <c r="C1024">
        <v>5</v>
      </c>
      <c r="D1024">
        <v>-2.0982599999999998</v>
      </c>
      <c r="E1024">
        <v>-0.41965000000000002</v>
      </c>
    </row>
    <row r="1025" spans="2:5" x14ac:dyDescent="0.25">
      <c r="B1025" t="s">
        <v>912</v>
      </c>
      <c r="C1025">
        <v>2</v>
      </c>
      <c r="D1025">
        <v>-0.84682000000000002</v>
      </c>
      <c r="E1025">
        <v>-0.42341000000000001</v>
      </c>
    </row>
    <row r="1026" spans="2:5" x14ac:dyDescent="0.25">
      <c r="B1026" t="s">
        <v>959</v>
      </c>
      <c r="C1026">
        <v>1</v>
      </c>
      <c r="D1026">
        <v>-0.43509999999999999</v>
      </c>
      <c r="E1026">
        <v>-0.43509999999999999</v>
      </c>
    </row>
    <row r="1027" spans="2:5" x14ac:dyDescent="0.25">
      <c r="B1027" t="s">
        <v>934</v>
      </c>
      <c r="C1027">
        <v>3</v>
      </c>
      <c r="D1027">
        <v>-1.31792</v>
      </c>
      <c r="E1027">
        <v>-0.43930999999999998</v>
      </c>
    </row>
    <row r="1028" spans="2:5" x14ac:dyDescent="0.25">
      <c r="B1028" t="s">
        <v>940</v>
      </c>
      <c r="C1028">
        <v>3</v>
      </c>
      <c r="D1028">
        <v>-1.32294</v>
      </c>
      <c r="E1028">
        <v>-0.44097999999999998</v>
      </c>
    </row>
    <row r="1029" spans="2:5" x14ac:dyDescent="0.25">
      <c r="B1029" t="s">
        <v>799</v>
      </c>
      <c r="C1029">
        <v>3</v>
      </c>
      <c r="D1029">
        <v>-1.3387199999999999</v>
      </c>
      <c r="E1029">
        <v>-0.44624000000000003</v>
      </c>
    </row>
    <row r="1030" spans="2:5" x14ac:dyDescent="0.25">
      <c r="B1030" t="s">
        <v>607</v>
      </c>
      <c r="C1030">
        <v>3</v>
      </c>
      <c r="D1030">
        <v>-1.37544</v>
      </c>
      <c r="E1030">
        <v>-0.45848</v>
      </c>
    </row>
    <row r="1031" spans="2:5" x14ac:dyDescent="0.25">
      <c r="B1031" t="s">
        <v>1005</v>
      </c>
      <c r="C1031">
        <v>2</v>
      </c>
      <c r="D1031">
        <v>-0.92254000000000003</v>
      </c>
      <c r="E1031">
        <v>-0.46127000000000001</v>
      </c>
    </row>
    <row r="1032" spans="2:5" x14ac:dyDescent="0.25">
      <c r="B1032" t="s">
        <v>814</v>
      </c>
      <c r="C1032">
        <v>1</v>
      </c>
      <c r="D1032">
        <v>-0.46294999999999997</v>
      </c>
      <c r="E1032">
        <v>-0.46294999999999997</v>
      </c>
    </row>
    <row r="1033" spans="2:5" x14ac:dyDescent="0.25">
      <c r="B1033" t="s">
        <v>1033</v>
      </c>
      <c r="C1033">
        <v>1</v>
      </c>
      <c r="D1033">
        <v>-0.46294999999999997</v>
      </c>
      <c r="E1033">
        <v>-0.46294999999999997</v>
      </c>
    </row>
    <row r="1034" spans="2:5" x14ac:dyDescent="0.25">
      <c r="B1034" t="s">
        <v>784</v>
      </c>
      <c r="C1034">
        <v>1</v>
      </c>
      <c r="D1034">
        <v>-0.46592</v>
      </c>
      <c r="E1034">
        <v>-0.46592</v>
      </c>
    </row>
    <row r="1035" spans="2:5" x14ac:dyDescent="0.25">
      <c r="B1035" t="s">
        <v>808</v>
      </c>
      <c r="C1035">
        <v>1</v>
      </c>
      <c r="D1035">
        <v>-0.46592</v>
      </c>
      <c r="E1035">
        <v>-0.46592</v>
      </c>
    </row>
    <row r="1036" spans="2:5" x14ac:dyDescent="0.25">
      <c r="B1036" t="s">
        <v>828</v>
      </c>
      <c r="C1036">
        <v>1</v>
      </c>
      <c r="D1036">
        <v>-0.46592</v>
      </c>
      <c r="E1036">
        <v>-0.46592</v>
      </c>
    </row>
    <row r="1037" spans="2:5" x14ac:dyDescent="0.25">
      <c r="B1037" t="s">
        <v>894</v>
      </c>
      <c r="C1037">
        <v>1</v>
      </c>
      <c r="D1037">
        <v>-0.46592</v>
      </c>
      <c r="E1037">
        <v>-0.46592</v>
      </c>
    </row>
    <row r="1038" spans="2:5" x14ac:dyDescent="0.25">
      <c r="B1038" t="s">
        <v>952</v>
      </c>
      <c r="C1038">
        <v>1</v>
      </c>
      <c r="D1038">
        <v>-0.46592</v>
      </c>
      <c r="E1038">
        <v>-0.46592</v>
      </c>
    </row>
    <row r="1039" spans="2:5" x14ac:dyDescent="0.25">
      <c r="B1039" t="s">
        <v>985</v>
      </c>
      <c r="C1039">
        <v>1</v>
      </c>
      <c r="D1039">
        <v>-0.46592</v>
      </c>
      <c r="E1039">
        <v>-0.46592</v>
      </c>
    </row>
    <row r="1040" spans="2:5" x14ac:dyDescent="0.25">
      <c r="B1040" t="s">
        <v>1031</v>
      </c>
      <c r="C1040">
        <v>1</v>
      </c>
      <c r="D1040">
        <v>-0.46592</v>
      </c>
      <c r="E1040">
        <v>-0.46592</v>
      </c>
    </row>
    <row r="1041" spans="2:5" x14ac:dyDescent="0.25">
      <c r="B1041" t="s">
        <v>929</v>
      </c>
      <c r="C1041">
        <v>2</v>
      </c>
      <c r="D1041">
        <v>-0.93944000000000005</v>
      </c>
      <c r="E1041">
        <v>-0.46972000000000003</v>
      </c>
    </row>
    <row r="1042" spans="2:5" x14ac:dyDescent="0.25">
      <c r="B1042" t="s">
        <v>501</v>
      </c>
      <c r="C1042">
        <v>2</v>
      </c>
      <c r="D1042">
        <v>-0.94233999999999996</v>
      </c>
      <c r="E1042">
        <v>-0.47116999999999998</v>
      </c>
    </row>
    <row r="1043" spans="2:5" x14ac:dyDescent="0.25">
      <c r="B1043" t="s">
        <v>898</v>
      </c>
      <c r="C1043">
        <v>2</v>
      </c>
      <c r="D1043">
        <v>-1.0011699999999999</v>
      </c>
      <c r="E1043">
        <v>-0.50058999999999998</v>
      </c>
    </row>
    <row r="1044" spans="2:5" x14ac:dyDescent="0.25">
      <c r="B1044" t="s">
        <v>789</v>
      </c>
      <c r="C1044">
        <v>4</v>
      </c>
      <c r="D1044">
        <v>-2.0863100000000001</v>
      </c>
      <c r="E1044">
        <v>-0.52158000000000004</v>
      </c>
    </row>
    <row r="1045" spans="2:5" x14ac:dyDescent="0.25">
      <c r="B1045" t="s">
        <v>806</v>
      </c>
      <c r="C1045">
        <v>2</v>
      </c>
      <c r="D1045">
        <v>-1.0865199999999999</v>
      </c>
      <c r="E1045">
        <v>-0.54325999999999997</v>
      </c>
    </row>
    <row r="1046" spans="2:5" x14ac:dyDescent="0.25">
      <c r="B1046" t="s">
        <v>305</v>
      </c>
      <c r="C1046">
        <v>1</v>
      </c>
      <c r="D1046">
        <v>-0.57755000000000001</v>
      </c>
      <c r="E1046">
        <v>-0.57755000000000001</v>
      </c>
    </row>
    <row r="1047" spans="2:5" x14ac:dyDescent="0.25">
      <c r="B1047" t="s">
        <v>925</v>
      </c>
      <c r="C1047">
        <v>2</v>
      </c>
      <c r="D1047">
        <v>-1.26776</v>
      </c>
      <c r="E1047">
        <v>-0.63388</v>
      </c>
    </row>
    <row r="1048" spans="2:5" x14ac:dyDescent="0.25">
      <c r="B1048" t="s">
        <v>1044</v>
      </c>
      <c r="C1048">
        <v>1</v>
      </c>
      <c r="D1048">
        <v>-0.78300000000000003</v>
      </c>
      <c r="E1048">
        <v>-0.78300000000000003</v>
      </c>
    </row>
    <row r="1049" spans="2:5" x14ac:dyDescent="0.25">
      <c r="B1049" t="s">
        <v>471</v>
      </c>
      <c r="C1049">
        <v>1</v>
      </c>
      <c r="D1049">
        <v>-0.81655</v>
      </c>
      <c r="E1049">
        <v>-0.81655</v>
      </c>
    </row>
    <row r="1050" spans="2:5" x14ac:dyDescent="0.25">
      <c r="B1050" t="s">
        <v>999</v>
      </c>
      <c r="C1050">
        <v>1</v>
      </c>
      <c r="D1050">
        <v>-0.85219</v>
      </c>
      <c r="E1050">
        <v>-0.85219</v>
      </c>
    </row>
    <row r="1051" spans="2:5" x14ac:dyDescent="0.25">
      <c r="B1051" t="s">
        <v>826</v>
      </c>
      <c r="C1051">
        <v>1</v>
      </c>
      <c r="D1051">
        <v>-0.86236000000000002</v>
      </c>
      <c r="E1051">
        <v>-0.86236000000000002</v>
      </c>
    </row>
  </sheetData>
  <autoFilter ref="E1:E1051">
    <sortState ref="B2:E1051">
      <sortCondition descending="1" ref="E1:E10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2018</vt:lpstr>
      <vt:lpstr>2021</vt:lpstr>
      <vt:lpstr>2021d2018</vt:lpstr>
      <vt:lpstr>2021_judga001</vt:lpstr>
      <vt:lpstr>2021_all</vt:lpstr>
      <vt:lpstr>Sheet1</vt:lpstr>
    </vt:vector>
  </TitlesOfParts>
  <Company>Microsoft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</dc:creator>
  <cp:lastModifiedBy>Kevin</cp:lastModifiedBy>
  <dcterms:created xsi:type="dcterms:W3CDTF">2022-11-21T13:19:15Z</dcterms:created>
  <dcterms:modified xsi:type="dcterms:W3CDTF">2022-11-23T19:59:43Z</dcterms:modified>
</cp:coreProperties>
</file>
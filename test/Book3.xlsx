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5" windowWidth="12495" windowHeight="8760" activeTab="1"/>
  </bookViews>
  <sheets>
    <sheet name="2011" sheetId="1" r:id="rId1"/>
    <sheet name="1999-2002" sheetId="2" r:id="rId2"/>
    <sheet name="MLB Data" sheetId="3" r:id="rId3"/>
    <sheet name="2011WSN_BoxScores" sheetId="5" r:id="rId4"/>
    <sheet name="2011WSN" sheetId="6" r:id="rId5"/>
    <sheet name="Retro DB Query 2011" sheetId="7" r:id="rId6"/>
  </sheets>
  <definedNames>
    <definedName name="_xlnm._FilterDatabase" localSheetId="3" hidden="1">'2011WSN_BoxScores'!$A$2:$U$163</definedName>
  </definedNames>
  <calcPr calcId="145621"/>
</workbook>
</file>

<file path=xl/calcChain.xml><?xml version="1.0" encoding="utf-8"?>
<calcChain xmlns="http://schemas.openxmlformats.org/spreadsheetml/2006/main">
  <c r="R158" i="2" l="1"/>
  <c r="Q158" i="2"/>
  <c r="P158" i="2"/>
  <c r="O158" i="2"/>
  <c r="N158" i="2"/>
  <c r="M158" i="2"/>
  <c r="L158" i="2"/>
  <c r="K158" i="2"/>
  <c r="R157" i="2"/>
  <c r="Q157" i="2"/>
  <c r="P157" i="2"/>
  <c r="O157" i="2"/>
  <c r="N157" i="2"/>
  <c r="M157" i="2"/>
  <c r="L157" i="2"/>
  <c r="K157" i="2"/>
  <c r="R156" i="2"/>
  <c r="Q156" i="2"/>
  <c r="P156" i="2"/>
  <c r="O156" i="2"/>
  <c r="N156" i="2"/>
  <c r="M156" i="2"/>
  <c r="L156" i="2"/>
  <c r="K156" i="2"/>
  <c r="R151" i="2"/>
  <c r="Q151" i="2"/>
  <c r="P151" i="2"/>
  <c r="O151" i="2"/>
  <c r="N151" i="2"/>
  <c r="M151" i="2"/>
  <c r="L151" i="2"/>
  <c r="K151" i="2"/>
  <c r="R150" i="2"/>
  <c r="Q150" i="2"/>
  <c r="P150" i="2"/>
  <c r="O150" i="2"/>
  <c r="N150" i="2"/>
  <c r="M150" i="2"/>
  <c r="L150" i="2"/>
  <c r="K150" i="2"/>
  <c r="R149" i="2"/>
  <c r="Q149" i="2"/>
  <c r="P149" i="2"/>
  <c r="O149" i="2"/>
  <c r="N149" i="2"/>
  <c r="M149" i="2"/>
  <c r="L149" i="2"/>
  <c r="K149" i="2"/>
  <c r="G302" i="7" l="1"/>
  <c r="G291" i="7"/>
  <c r="G277" i="7"/>
  <c r="G269" i="7"/>
  <c r="G254" i="7"/>
  <c r="G243" i="7"/>
  <c r="G232" i="7"/>
  <c r="G227" i="7"/>
  <c r="G208" i="7"/>
  <c r="G190" i="7"/>
  <c r="G173" i="7"/>
  <c r="G163" i="7"/>
  <c r="G145" i="7"/>
  <c r="G133" i="7"/>
  <c r="G121" i="7"/>
  <c r="G116" i="7"/>
  <c r="G95" i="7"/>
  <c r="G77" i="7"/>
  <c r="G59" i="7"/>
  <c r="G50" i="7"/>
  <c r="G31" i="7"/>
  <c r="G19" i="7"/>
  <c r="G7" i="7"/>
  <c r="G2" i="7"/>
  <c r="F302" i="7"/>
  <c r="F254" i="7"/>
  <c r="F208" i="7"/>
  <c r="F145" i="7"/>
  <c r="F95" i="7"/>
  <c r="F31" i="7"/>
  <c r="D314" i="7"/>
  <c r="D298" i="7"/>
  <c r="D282" i="7"/>
  <c r="D266" i="7"/>
  <c r="D250" i="7"/>
  <c r="D234" i="7"/>
  <c r="D218" i="7"/>
  <c r="D202" i="7"/>
  <c r="D186" i="7"/>
  <c r="D170" i="7"/>
  <c r="D154" i="7"/>
  <c r="D138" i="7"/>
  <c r="D122" i="7"/>
  <c r="D106" i="7"/>
  <c r="D90" i="7"/>
  <c r="D74" i="7"/>
  <c r="D58" i="7"/>
  <c r="D42" i="7"/>
  <c r="D26" i="7"/>
  <c r="D313" i="7"/>
  <c r="D297" i="7"/>
  <c r="D281" i="7"/>
  <c r="D265" i="7"/>
  <c r="D249" i="7"/>
  <c r="D233" i="7"/>
  <c r="D217" i="7"/>
  <c r="D201" i="7"/>
  <c r="D185" i="7"/>
  <c r="D169" i="7"/>
  <c r="D153" i="7"/>
  <c r="D137" i="7"/>
  <c r="D121" i="7"/>
  <c r="D308" i="7"/>
  <c r="D292" i="7"/>
  <c r="D276" i="7"/>
  <c r="D260" i="7"/>
  <c r="D244" i="7"/>
  <c r="D228" i="7"/>
  <c r="D212" i="7"/>
  <c r="D196" i="7"/>
  <c r="D180" i="7"/>
  <c r="D164" i="7"/>
  <c r="D148" i="7"/>
  <c r="D132" i="7"/>
  <c r="D116" i="7"/>
  <c r="D100" i="7"/>
  <c r="D84" i="7"/>
  <c r="D68" i="7"/>
  <c r="D52" i="7"/>
  <c r="D36" i="7"/>
  <c r="D20" i="7"/>
  <c r="D307" i="7"/>
  <c r="D291" i="7"/>
  <c r="D275" i="7"/>
  <c r="D259" i="7"/>
  <c r="D243" i="7"/>
  <c r="D227" i="7"/>
  <c r="D211" i="7"/>
  <c r="D195" i="7"/>
  <c r="D179" i="7"/>
  <c r="D163" i="7"/>
  <c r="D147" i="7"/>
  <c r="D131" i="7"/>
  <c r="D115" i="7"/>
  <c r="D81" i="7"/>
  <c r="D49" i="7"/>
  <c r="D17" i="7"/>
  <c r="D87" i="7"/>
  <c r="D55" i="7"/>
  <c r="D23" i="7"/>
  <c r="D83" i="7"/>
  <c r="D19" i="7"/>
  <c r="D85" i="7"/>
  <c r="D53" i="7"/>
  <c r="D59" i="7"/>
  <c r="D6" i="7"/>
  <c r="F291" i="7"/>
  <c r="F243" i="7"/>
  <c r="F190" i="7"/>
  <c r="F133" i="7"/>
  <c r="F77" i="7"/>
  <c r="F19" i="7"/>
  <c r="D310" i="7"/>
  <c r="D294" i="7"/>
  <c r="D278" i="7"/>
  <c r="D262" i="7"/>
  <c r="D246" i="7"/>
  <c r="D230" i="7"/>
  <c r="D214" i="7"/>
  <c r="D198" i="7"/>
  <c r="D182" i="7"/>
  <c r="D166" i="7"/>
  <c r="D150" i="7"/>
  <c r="D134" i="7"/>
  <c r="D118" i="7"/>
  <c r="D102" i="7"/>
  <c r="D86" i="7"/>
  <c r="D70" i="7"/>
  <c r="D54" i="7"/>
  <c r="D38" i="7"/>
  <c r="D22" i="7"/>
  <c r="D309" i="7"/>
  <c r="D293" i="7"/>
  <c r="D277" i="7"/>
  <c r="D261" i="7"/>
  <c r="D245" i="7"/>
  <c r="D229" i="7"/>
  <c r="D213" i="7"/>
  <c r="D197" i="7"/>
  <c r="D181" i="7"/>
  <c r="D165" i="7"/>
  <c r="D149" i="7"/>
  <c r="D133" i="7"/>
  <c r="D117" i="7"/>
  <c r="D304" i="7"/>
  <c r="D288" i="7"/>
  <c r="D272" i="7"/>
  <c r="D256" i="7"/>
  <c r="D240" i="7"/>
  <c r="D224" i="7"/>
  <c r="D208" i="7"/>
  <c r="D192" i="7"/>
  <c r="D176" i="7"/>
  <c r="D160" i="7"/>
  <c r="D144" i="7"/>
  <c r="D128" i="7"/>
  <c r="D112" i="7"/>
  <c r="D96" i="7"/>
  <c r="D80" i="7"/>
  <c r="D64" i="7"/>
  <c r="D48" i="7"/>
  <c r="D32" i="7"/>
  <c r="D16" i="7"/>
  <c r="D303" i="7"/>
  <c r="D287" i="7"/>
  <c r="D271" i="7"/>
  <c r="D255" i="7"/>
  <c r="D239" i="7"/>
  <c r="D223" i="7"/>
  <c r="D207" i="7"/>
  <c r="D191" i="7"/>
  <c r="D175" i="7"/>
  <c r="D159" i="7"/>
  <c r="D143" i="7"/>
  <c r="D127" i="7"/>
  <c r="D105" i="7"/>
  <c r="D73" i="7"/>
  <c r="D41" i="7"/>
  <c r="D111" i="7"/>
  <c r="D79" i="7"/>
  <c r="D47" i="7"/>
  <c r="D15" i="7"/>
  <c r="D67" i="7"/>
  <c r="D109" i="7"/>
  <c r="D77" i="7"/>
  <c r="D45" i="7"/>
  <c r="D107" i="7"/>
  <c r="D43" i="7"/>
  <c r="D9" i="7"/>
  <c r="D5" i="7"/>
  <c r="D51" i="7"/>
  <c r="D69" i="7"/>
  <c r="D91" i="7"/>
  <c r="D8" i="7"/>
  <c r="F277" i="7"/>
  <c r="F232" i="7"/>
  <c r="F173" i="7"/>
  <c r="F121" i="7"/>
  <c r="F59" i="7"/>
  <c r="F7" i="7"/>
  <c r="D306" i="7"/>
  <c r="D290" i="7"/>
  <c r="D274" i="7"/>
  <c r="D258" i="7"/>
  <c r="D242" i="7"/>
  <c r="D226" i="7"/>
  <c r="D210" i="7"/>
  <c r="D194" i="7"/>
  <c r="D178" i="7"/>
  <c r="D162" i="7"/>
  <c r="D146" i="7"/>
  <c r="D130" i="7"/>
  <c r="D114" i="7"/>
  <c r="D98" i="7"/>
  <c r="D82" i="7"/>
  <c r="D66" i="7"/>
  <c r="D50" i="7"/>
  <c r="D34" i="7"/>
  <c r="D18" i="7"/>
  <c r="D305" i="7"/>
  <c r="D289" i="7"/>
  <c r="D273" i="7"/>
  <c r="D257" i="7"/>
  <c r="D241" i="7"/>
  <c r="D225" i="7"/>
  <c r="D209" i="7"/>
  <c r="D193" i="7"/>
  <c r="D177" i="7"/>
  <c r="D161" i="7"/>
  <c r="D145" i="7"/>
  <c r="D129" i="7"/>
  <c r="D113" i="7"/>
  <c r="D300" i="7"/>
  <c r="D284" i="7"/>
  <c r="D268" i="7"/>
  <c r="D252" i="7"/>
  <c r="D236" i="7"/>
  <c r="D220" i="7"/>
  <c r="D204" i="7"/>
  <c r="D188" i="7"/>
  <c r="D172" i="7"/>
  <c r="D156" i="7"/>
  <c r="D140" i="7"/>
  <c r="D124" i="7"/>
  <c r="D108" i="7"/>
  <c r="D92" i="7"/>
  <c r="D76" i="7"/>
  <c r="D60" i="7"/>
  <c r="D44" i="7"/>
  <c r="D28" i="7"/>
  <c r="D12" i="7"/>
  <c r="D299" i="7"/>
  <c r="D283" i="7"/>
  <c r="D267" i="7"/>
  <c r="D251" i="7"/>
  <c r="D235" i="7"/>
  <c r="D219" i="7"/>
  <c r="D203" i="7"/>
  <c r="D187" i="7"/>
  <c r="D171" i="7"/>
  <c r="D155" i="7"/>
  <c r="D139" i="7"/>
  <c r="D123" i="7"/>
  <c r="D97" i="7"/>
  <c r="D65" i="7"/>
  <c r="D33" i="7"/>
  <c r="D103" i="7"/>
  <c r="D71" i="7"/>
  <c r="D39" i="7"/>
  <c r="D13" i="7"/>
  <c r="D101" i="7"/>
  <c r="D37" i="7"/>
  <c r="D27" i="7"/>
  <c r="D4" i="7"/>
  <c r="F269" i="7"/>
  <c r="F227" i="7"/>
  <c r="F163" i="7"/>
  <c r="F116" i="7"/>
  <c r="F50" i="7"/>
  <c r="F2" i="7"/>
  <c r="D302" i="7"/>
  <c r="D286" i="7"/>
  <c r="D270" i="7"/>
  <c r="D254" i="7"/>
  <c r="D238" i="7"/>
  <c r="D222" i="7"/>
  <c r="D206" i="7"/>
  <c r="D190" i="7"/>
  <c r="D174" i="7"/>
  <c r="D158" i="7"/>
  <c r="D142" i="7"/>
  <c r="D126" i="7"/>
  <c r="D110" i="7"/>
  <c r="D94" i="7"/>
  <c r="D78" i="7"/>
  <c r="D62" i="7"/>
  <c r="D46" i="7"/>
  <c r="D30" i="7"/>
  <c r="D14" i="7"/>
  <c r="D301" i="7"/>
  <c r="D285" i="7"/>
  <c r="D269" i="7"/>
  <c r="D253" i="7"/>
  <c r="D237" i="7"/>
  <c r="D221" i="7"/>
  <c r="D205" i="7"/>
  <c r="D189" i="7"/>
  <c r="D173" i="7"/>
  <c r="D157" i="7"/>
  <c r="D141" i="7"/>
  <c r="D125" i="7"/>
  <c r="D312" i="7"/>
  <c r="D296" i="7"/>
  <c r="D280" i="7"/>
  <c r="D264" i="7"/>
  <c r="D248" i="7"/>
  <c r="D232" i="7"/>
  <c r="D216" i="7"/>
  <c r="D200" i="7"/>
  <c r="D184" i="7"/>
  <c r="D168" i="7"/>
  <c r="D152" i="7"/>
  <c r="D136" i="7"/>
  <c r="D120" i="7"/>
  <c r="D104" i="7"/>
  <c r="D88" i="7"/>
  <c r="D72" i="7"/>
  <c r="D56" i="7"/>
  <c r="D40" i="7"/>
  <c r="D24" i="7"/>
  <c r="D311" i="7"/>
  <c r="D295" i="7"/>
  <c r="D279" i="7"/>
  <c r="D263" i="7"/>
  <c r="D247" i="7"/>
  <c r="D231" i="7"/>
  <c r="D215" i="7"/>
  <c r="D199" i="7"/>
  <c r="D183" i="7"/>
  <c r="D167" i="7"/>
  <c r="D151" i="7"/>
  <c r="D135" i="7"/>
  <c r="D119" i="7"/>
  <c r="D89" i="7"/>
  <c r="D57" i="7"/>
  <c r="D25" i="7"/>
  <c r="D95" i="7"/>
  <c r="D63" i="7"/>
  <c r="D31" i="7"/>
  <c r="D99" i="7"/>
  <c r="D35" i="7"/>
  <c r="D93" i="7"/>
  <c r="D61" i="7"/>
  <c r="D29" i="7"/>
  <c r="D75" i="7"/>
  <c r="D11" i="7"/>
  <c r="D7" i="7"/>
  <c r="D3" i="7"/>
  <c r="D21" i="7"/>
  <c r="D10" i="7"/>
  <c r="D2" i="7"/>
  <c r="H302" i="7" l="1"/>
  <c r="H291" i="7"/>
  <c r="H277" i="7"/>
  <c r="H269" i="7"/>
  <c r="H254" i="7"/>
  <c r="H243" i="7"/>
  <c r="H232" i="7"/>
  <c r="H227" i="7"/>
  <c r="H208" i="7"/>
  <c r="H190" i="7"/>
  <c r="H173" i="7"/>
  <c r="H163" i="7"/>
  <c r="H145" i="7"/>
  <c r="H133" i="7"/>
  <c r="H121" i="7"/>
  <c r="H116" i="7"/>
  <c r="H95" i="7"/>
  <c r="H77" i="7"/>
  <c r="H59" i="7"/>
  <c r="H50" i="7"/>
  <c r="H31" i="7"/>
  <c r="H19" i="7"/>
  <c r="H7" i="7"/>
  <c r="H2" i="7"/>
  <c r="E3" i="7"/>
  <c r="E4" i="7"/>
  <c r="E5" i="7"/>
  <c r="E6" i="7"/>
  <c r="E7" i="7"/>
  <c r="E8" i="7"/>
  <c r="E9" i="7"/>
  <c r="E10" i="7"/>
  <c r="E11" i="7"/>
  <c r="E27" i="7"/>
  <c r="E43" i="7"/>
  <c r="E59" i="7"/>
  <c r="E75" i="7"/>
  <c r="E91" i="7"/>
  <c r="E107" i="7"/>
  <c r="E21" i="7"/>
  <c r="E29" i="7"/>
  <c r="E37" i="7"/>
  <c r="E45" i="7"/>
  <c r="E53" i="7"/>
  <c r="E61" i="7"/>
  <c r="E69" i="7"/>
  <c r="E77" i="7"/>
  <c r="E85" i="7"/>
  <c r="E93" i="7"/>
  <c r="E101" i="7"/>
  <c r="E109" i="7"/>
  <c r="E19" i="7"/>
  <c r="E35" i="7"/>
  <c r="E51" i="7"/>
  <c r="E67" i="7"/>
  <c r="E83" i="7"/>
  <c r="E99" i="7"/>
  <c r="E13" i="7"/>
  <c r="E15" i="7"/>
  <c r="E23" i="7"/>
  <c r="E31" i="7"/>
  <c r="E39" i="7"/>
  <c r="E47" i="7"/>
  <c r="E55" i="7"/>
  <c r="E63" i="7"/>
  <c r="E71" i="7"/>
  <c r="E79" i="7"/>
  <c r="E87" i="7"/>
  <c r="E95" i="7"/>
  <c r="E103" i="7"/>
  <c r="E111" i="7"/>
  <c r="E17" i="7"/>
  <c r="E25" i="7"/>
  <c r="E33" i="7"/>
  <c r="E41" i="7"/>
  <c r="E49" i="7"/>
  <c r="E57" i="7"/>
  <c r="E65" i="7"/>
  <c r="E73" i="7"/>
  <c r="E81" i="7"/>
  <c r="E89" i="7"/>
  <c r="E97" i="7"/>
  <c r="E105" i="7"/>
  <c r="E115" i="7"/>
  <c r="E119" i="7"/>
  <c r="E123" i="7"/>
  <c r="E127" i="7"/>
  <c r="E131" i="7"/>
  <c r="E135" i="7"/>
  <c r="E139" i="7"/>
  <c r="E143" i="7"/>
  <c r="E147" i="7"/>
  <c r="E151" i="7"/>
  <c r="E155" i="7"/>
  <c r="E159" i="7"/>
  <c r="E163" i="7"/>
  <c r="E167" i="7"/>
  <c r="E171" i="7"/>
  <c r="E175" i="7"/>
  <c r="E179" i="7"/>
  <c r="E183" i="7"/>
  <c r="E187" i="7"/>
  <c r="E191" i="7"/>
  <c r="E195" i="7"/>
  <c r="E199" i="7"/>
  <c r="E203" i="7"/>
  <c r="E207" i="7"/>
  <c r="E211" i="7"/>
  <c r="E215" i="7"/>
  <c r="E219" i="7"/>
  <c r="E223" i="7"/>
  <c r="E227" i="7"/>
  <c r="E231" i="7"/>
  <c r="E235" i="7"/>
  <c r="E239" i="7"/>
  <c r="E243" i="7"/>
  <c r="E247" i="7"/>
  <c r="E251" i="7"/>
  <c r="E255" i="7"/>
  <c r="E259" i="7"/>
  <c r="E263" i="7"/>
  <c r="E267" i="7"/>
  <c r="E271" i="7"/>
  <c r="E275" i="7"/>
  <c r="E279" i="7"/>
  <c r="E283" i="7"/>
  <c r="E287" i="7"/>
  <c r="E291" i="7"/>
  <c r="E295" i="7"/>
  <c r="E299" i="7"/>
  <c r="E303" i="7"/>
  <c r="E307" i="7"/>
  <c r="E311" i="7"/>
  <c r="E12" i="7"/>
  <c r="E16" i="7"/>
  <c r="E20" i="7"/>
  <c r="E24" i="7"/>
  <c r="E28" i="7"/>
  <c r="E32" i="7"/>
  <c r="E36" i="7"/>
  <c r="E40" i="7"/>
  <c r="E44" i="7"/>
  <c r="E48" i="7"/>
  <c r="E52" i="7"/>
  <c r="E56" i="7"/>
  <c r="E60" i="7"/>
  <c r="E64" i="7"/>
  <c r="E68" i="7"/>
  <c r="E72" i="7"/>
  <c r="E76" i="7"/>
  <c r="E80" i="7"/>
  <c r="E84" i="7"/>
  <c r="E88" i="7"/>
  <c r="E92" i="7"/>
  <c r="E96" i="7"/>
  <c r="E100" i="7"/>
  <c r="E104" i="7"/>
  <c r="E108" i="7"/>
  <c r="E112" i="7"/>
  <c r="E116" i="7"/>
  <c r="E120" i="7"/>
  <c r="E124" i="7"/>
  <c r="E128" i="7"/>
  <c r="E132" i="7"/>
  <c r="E136" i="7"/>
  <c r="E140" i="7"/>
  <c r="E144" i="7"/>
  <c r="E148" i="7"/>
  <c r="E152" i="7"/>
  <c r="E156" i="7"/>
  <c r="E160" i="7"/>
  <c r="E164" i="7"/>
  <c r="E168" i="7"/>
  <c r="E172" i="7"/>
  <c r="E176" i="7"/>
  <c r="E180" i="7"/>
  <c r="E184" i="7"/>
  <c r="E188" i="7"/>
  <c r="E192" i="7"/>
  <c r="E196" i="7"/>
  <c r="E200" i="7"/>
  <c r="E204" i="7"/>
  <c r="E208" i="7"/>
  <c r="E212" i="7"/>
  <c r="E216" i="7"/>
  <c r="E220" i="7"/>
  <c r="E224" i="7"/>
  <c r="E228" i="7"/>
  <c r="E232" i="7"/>
  <c r="E236" i="7"/>
  <c r="E240" i="7"/>
  <c r="E244" i="7"/>
  <c r="E248" i="7"/>
  <c r="E252" i="7"/>
  <c r="E256" i="7"/>
  <c r="E260" i="7"/>
  <c r="E264" i="7"/>
  <c r="E268" i="7"/>
  <c r="E272" i="7"/>
  <c r="E276" i="7"/>
  <c r="E280" i="7"/>
  <c r="E284" i="7"/>
  <c r="E288" i="7"/>
  <c r="E292" i="7"/>
  <c r="E296" i="7"/>
  <c r="E300" i="7"/>
  <c r="E304" i="7"/>
  <c r="E308" i="7"/>
  <c r="E312" i="7"/>
  <c r="E113" i="7"/>
  <c r="E117" i="7"/>
  <c r="E121" i="7"/>
  <c r="E125" i="7"/>
  <c r="E129" i="7"/>
  <c r="E133" i="7"/>
  <c r="E137" i="7"/>
  <c r="E141" i="7"/>
  <c r="E145" i="7"/>
  <c r="E149" i="7"/>
  <c r="E153" i="7"/>
  <c r="E157" i="7"/>
  <c r="E161" i="7"/>
  <c r="E165" i="7"/>
  <c r="E169" i="7"/>
  <c r="E173" i="7"/>
  <c r="E177" i="7"/>
  <c r="E181" i="7"/>
  <c r="E185" i="7"/>
  <c r="E189" i="7"/>
  <c r="E193" i="7"/>
  <c r="E197" i="7"/>
  <c r="E201" i="7"/>
  <c r="E205" i="7"/>
  <c r="E209" i="7"/>
  <c r="E213" i="7"/>
  <c r="E217" i="7"/>
  <c r="E221" i="7"/>
  <c r="E225" i="7"/>
  <c r="E229" i="7"/>
  <c r="E233" i="7"/>
  <c r="E237" i="7"/>
  <c r="E241" i="7"/>
  <c r="E245" i="7"/>
  <c r="E249" i="7"/>
  <c r="E253" i="7"/>
  <c r="E257" i="7"/>
  <c r="E261" i="7"/>
  <c r="E265" i="7"/>
  <c r="E269" i="7"/>
  <c r="E273" i="7"/>
  <c r="E277" i="7"/>
  <c r="E281" i="7"/>
  <c r="E285" i="7"/>
  <c r="E289" i="7"/>
  <c r="E293" i="7"/>
  <c r="E297" i="7"/>
  <c r="E301" i="7"/>
  <c r="E305" i="7"/>
  <c r="E309" i="7"/>
  <c r="E313" i="7"/>
  <c r="E14" i="7"/>
  <c r="E18" i="7"/>
  <c r="E22" i="7"/>
  <c r="E26" i="7"/>
  <c r="E30" i="7"/>
  <c r="E34" i="7"/>
  <c r="E38" i="7"/>
  <c r="E42" i="7"/>
  <c r="E46" i="7"/>
  <c r="E50" i="7"/>
  <c r="E54" i="7"/>
  <c r="E58" i="7"/>
  <c r="E62" i="7"/>
  <c r="E66" i="7"/>
  <c r="E70" i="7"/>
  <c r="E74" i="7"/>
  <c r="E78" i="7"/>
  <c r="E82" i="7"/>
  <c r="E86" i="7"/>
  <c r="E90" i="7"/>
  <c r="E94" i="7"/>
  <c r="E98" i="7"/>
  <c r="E102" i="7"/>
  <c r="E106" i="7"/>
  <c r="E110" i="7"/>
  <c r="E114" i="7"/>
  <c r="E118" i="7"/>
  <c r="E122" i="7"/>
  <c r="E126" i="7"/>
  <c r="E130" i="7"/>
  <c r="E134" i="7"/>
  <c r="E138" i="7"/>
  <c r="E142" i="7"/>
  <c r="E146" i="7"/>
  <c r="E150" i="7"/>
  <c r="E154" i="7"/>
  <c r="E158" i="7"/>
  <c r="E162" i="7"/>
  <c r="E166" i="7"/>
  <c r="E170" i="7"/>
  <c r="E174" i="7"/>
  <c r="E178" i="7"/>
  <c r="E182" i="7"/>
  <c r="E186" i="7"/>
  <c r="E190" i="7"/>
  <c r="E194" i="7"/>
  <c r="E198" i="7"/>
  <c r="E202" i="7"/>
  <c r="E206" i="7"/>
  <c r="E210" i="7"/>
  <c r="E214" i="7"/>
  <c r="E218" i="7"/>
  <c r="E222" i="7"/>
  <c r="E226" i="7"/>
  <c r="E230" i="7"/>
  <c r="E234" i="7"/>
  <c r="E238" i="7"/>
  <c r="E242" i="7"/>
  <c r="E246" i="7"/>
  <c r="E250" i="7"/>
  <c r="E254" i="7"/>
  <c r="E258" i="7"/>
  <c r="E262" i="7"/>
  <c r="E266" i="7"/>
  <c r="E270" i="7"/>
  <c r="E274" i="7"/>
  <c r="E278" i="7"/>
  <c r="E282" i="7"/>
  <c r="E286" i="7"/>
  <c r="E290" i="7"/>
  <c r="E294" i="7"/>
  <c r="E298" i="7"/>
  <c r="E302" i="7"/>
  <c r="E306" i="7"/>
  <c r="E310" i="7"/>
  <c r="E314" i="7"/>
  <c r="E2" i="7"/>
  <c r="B157" i="2"/>
  <c r="B158" i="2"/>
  <c r="C158" i="2"/>
  <c r="C157" i="2"/>
  <c r="D157" i="2"/>
  <c r="D158" i="2"/>
  <c r="E158" i="2"/>
  <c r="E157" i="2"/>
  <c r="F157" i="2"/>
  <c r="F158" i="2"/>
  <c r="G158" i="2"/>
  <c r="G157" i="2"/>
  <c r="H157" i="2"/>
  <c r="H158" i="2"/>
  <c r="I158" i="2"/>
  <c r="I157" i="2"/>
  <c r="I156" i="2"/>
  <c r="H156" i="2"/>
  <c r="G156" i="2"/>
  <c r="F156" i="2"/>
  <c r="E156" i="2"/>
  <c r="D156" i="2"/>
  <c r="C156" i="2"/>
  <c r="B156" i="2"/>
  <c r="A158" i="2"/>
  <c r="A157" i="2"/>
  <c r="A156" i="2"/>
  <c r="I155" i="2"/>
  <c r="H155" i="2"/>
  <c r="G155" i="2"/>
  <c r="F155" i="2"/>
  <c r="E155" i="2"/>
  <c r="D155" i="2"/>
  <c r="C155" i="2"/>
  <c r="B155" i="2"/>
  <c r="A155" i="2"/>
  <c r="I154" i="2"/>
  <c r="H154" i="2"/>
  <c r="G154" i="2"/>
  <c r="F154" i="2"/>
  <c r="E154" i="2"/>
  <c r="D154" i="2"/>
  <c r="C154" i="2"/>
  <c r="B154" i="2"/>
  <c r="A154" i="2"/>
  <c r="I153" i="2"/>
  <c r="H153" i="2"/>
  <c r="G153" i="2"/>
  <c r="F153" i="2"/>
  <c r="E153" i="2"/>
  <c r="D153" i="2"/>
  <c r="C153" i="2"/>
  <c r="B153" i="2"/>
  <c r="A153" i="2"/>
  <c r="A151" i="2"/>
  <c r="A150" i="2"/>
  <c r="A149" i="2"/>
  <c r="I148" i="2"/>
  <c r="H148" i="2"/>
  <c r="G148" i="2"/>
  <c r="F148" i="2"/>
  <c r="E148" i="2"/>
  <c r="D148" i="2"/>
  <c r="C148" i="2"/>
  <c r="B148" i="2"/>
  <c r="A148" i="2"/>
  <c r="I147" i="2"/>
  <c r="H147" i="2"/>
  <c r="G147" i="2"/>
  <c r="F147" i="2"/>
  <c r="E147" i="2"/>
  <c r="D147" i="2"/>
  <c r="C147" i="2"/>
  <c r="B147" i="2"/>
  <c r="A147" i="2"/>
  <c r="I146" i="2"/>
  <c r="H146" i="2"/>
  <c r="G146" i="2"/>
  <c r="F146" i="2"/>
  <c r="E146" i="2"/>
  <c r="D146" i="2"/>
  <c r="C146" i="2"/>
  <c r="B146" i="2"/>
  <c r="A146" i="2"/>
  <c r="I151" i="2"/>
  <c r="I150" i="2"/>
  <c r="I149" i="2"/>
  <c r="H151" i="2"/>
  <c r="H150" i="2"/>
  <c r="H149" i="2"/>
  <c r="G151" i="2"/>
  <c r="G150" i="2"/>
  <c r="G149" i="2"/>
  <c r="F151" i="2"/>
  <c r="F150" i="2"/>
  <c r="F149" i="2"/>
  <c r="E151" i="2"/>
  <c r="E150" i="2"/>
  <c r="E149" i="2"/>
  <c r="D151" i="2"/>
  <c r="D150" i="2"/>
  <c r="D149" i="2"/>
  <c r="C151" i="2"/>
  <c r="C150" i="2"/>
  <c r="C149" i="2"/>
  <c r="B151" i="2"/>
  <c r="B150" i="2"/>
  <c r="B149" i="2"/>
  <c r="F82" i="6"/>
  <c r="F79" i="6"/>
  <c r="F78" i="6"/>
  <c r="F75" i="6"/>
  <c r="F74" i="6"/>
  <c r="F71" i="6"/>
  <c r="F70" i="6"/>
  <c r="F67" i="6"/>
  <c r="F66" i="6"/>
  <c r="F63" i="6"/>
  <c r="F62" i="6"/>
  <c r="F59" i="6"/>
  <c r="F58" i="6"/>
  <c r="F55" i="6"/>
  <c r="F54" i="6"/>
  <c r="F51" i="6"/>
  <c r="F50" i="6"/>
  <c r="F47" i="6"/>
  <c r="F46" i="6"/>
  <c r="F43" i="6"/>
  <c r="F42" i="6"/>
  <c r="F39" i="6"/>
  <c r="F38" i="6"/>
  <c r="F35" i="6"/>
  <c r="F34" i="6"/>
  <c r="F31" i="6"/>
  <c r="F30" i="6"/>
  <c r="F27" i="6"/>
  <c r="F26" i="6"/>
  <c r="F23" i="6"/>
  <c r="F22" i="6"/>
  <c r="F19" i="6"/>
  <c r="F18" i="6"/>
  <c r="F15" i="6"/>
  <c r="F14" i="6"/>
  <c r="F11" i="6"/>
  <c r="F10" i="6"/>
  <c r="F7" i="6"/>
  <c r="F6" i="6"/>
  <c r="F4" i="6"/>
  <c r="C4" i="6"/>
  <c r="C82" i="6"/>
  <c r="C81" i="6"/>
  <c r="F81" i="6" s="1"/>
  <c r="C80" i="6"/>
  <c r="F80" i="6" s="1"/>
  <c r="C79" i="6"/>
  <c r="C78" i="6"/>
  <c r="C77" i="6"/>
  <c r="F77" i="6" s="1"/>
  <c r="C76" i="6"/>
  <c r="F76" i="6" s="1"/>
  <c r="C75" i="6"/>
  <c r="C74" i="6"/>
  <c r="C73" i="6"/>
  <c r="F73" i="6" s="1"/>
  <c r="C72" i="6"/>
  <c r="F72" i="6" s="1"/>
  <c r="C71" i="6"/>
  <c r="C70" i="6"/>
  <c r="C69" i="6"/>
  <c r="F69" i="6" s="1"/>
  <c r="C68" i="6"/>
  <c r="F68" i="6" s="1"/>
  <c r="C67" i="6"/>
  <c r="C66" i="6"/>
  <c r="C65" i="6"/>
  <c r="F65" i="6" s="1"/>
  <c r="C64" i="6"/>
  <c r="F64" i="6" s="1"/>
  <c r="C63" i="6"/>
  <c r="C62" i="6"/>
  <c r="C61" i="6"/>
  <c r="F61" i="6" s="1"/>
  <c r="C60" i="6"/>
  <c r="F60" i="6" s="1"/>
  <c r="C59" i="6"/>
  <c r="C58" i="6"/>
  <c r="C57" i="6"/>
  <c r="F57" i="6" s="1"/>
  <c r="C56" i="6"/>
  <c r="F56" i="6" s="1"/>
  <c r="C55" i="6"/>
  <c r="C54" i="6"/>
  <c r="C53" i="6"/>
  <c r="F53" i="6" s="1"/>
  <c r="C52" i="6"/>
  <c r="F52" i="6" s="1"/>
  <c r="C51" i="6"/>
  <c r="C50" i="6"/>
  <c r="C49" i="6"/>
  <c r="F49" i="6" s="1"/>
  <c r="C48" i="6"/>
  <c r="F48" i="6" s="1"/>
  <c r="C47" i="6"/>
  <c r="C46" i="6"/>
  <c r="C45" i="6"/>
  <c r="F45" i="6" s="1"/>
  <c r="C44" i="6"/>
  <c r="F44" i="6" s="1"/>
  <c r="C43" i="6"/>
  <c r="C42" i="6"/>
  <c r="C41" i="6"/>
  <c r="F41" i="6" s="1"/>
  <c r="C40" i="6"/>
  <c r="F40" i="6" s="1"/>
  <c r="C39" i="6"/>
  <c r="C38" i="6"/>
  <c r="C37" i="6"/>
  <c r="F37" i="6" s="1"/>
  <c r="C36" i="6"/>
  <c r="F36" i="6" s="1"/>
  <c r="C35" i="6"/>
  <c r="C34" i="6"/>
  <c r="C33" i="6"/>
  <c r="F33" i="6" s="1"/>
  <c r="C32" i="6"/>
  <c r="F32" i="6" s="1"/>
  <c r="C31" i="6"/>
  <c r="C30" i="6"/>
  <c r="C29" i="6"/>
  <c r="F29" i="6" s="1"/>
  <c r="C28" i="6"/>
  <c r="F28" i="6" s="1"/>
  <c r="C27" i="6"/>
  <c r="C26" i="6"/>
  <c r="C25" i="6"/>
  <c r="F25" i="6" s="1"/>
  <c r="C24" i="6"/>
  <c r="F24" i="6" s="1"/>
  <c r="C23" i="6"/>
  <c r="C22" i="6"/>
  <c r="C21" i="6"/>
  <c r="F21" i="6" s="1"/>
  <c r="C20" i="6"/>
  <c r="F20" i="6" s="1"/>
  <c r="C19" i="6"/>
  <c r="C18" i="6"/>
  <c r="C17" i="6"/>
  <c r="F17" i="6" s="1"/>
  <c r="C16" i="6"/>
  <c r="F16" i="6" s="1"/>
  <c r="C15" i="6"/>
  <c r="C14" i="6"/>
  <c r="C13" i="6"/>
  <c r="F13" i="6" s="1"/>
  <c r="C12" i="6"/>
  <c r="F12" i="6" s="1"/>
  <c r="C11" i="6"/>
  <c r="C10" i="6"/>
  <c r="C9" i="6"/>
  <c r="F9" i="6" s="1"/>
  <c r="C8" i="6"/>
  <c r="F8" i="6" s="1"/>
  <c r="C7" i="6"/>
  <c r="C6" i="6"/>
  <c r="C5" i="6"/>
  <c r="F5" i="6" s="1"/>
  <c r="C3" i="6"/>
  <c r="F3" i="6" s="1"/>
  <c r="J1" i="5"/>
  <c r="I1" i="5"/>
  <c r="K1" i="5" s="1"/>
  <c r="L1" i="5" s="1"/>
  <c r="F10" i="3"/>
  <c r="F17" i="3"/>
  <c r="I17" i="3"/>
  <c r="H1" i="7" l="1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E1" i="3"/>
  <c r="C1" i="3"/>
  <c r="B1" i="3"/>
  <c r="F1" i="3"/>
</calcChain>
</file>

<file path=xl/sharedStrings.xml><?xml version="1.0" encoding="utf-8"?>
<sst xmlns="http://schemas.openxmlformats.org/spreadsheetml/2006/main" count="2079" uniqueCount="694">
  <si>
    <t>Year</t>
  </si>
  <si>
    <t>Tms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</si>
  <si>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</si>
  <si>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</si>
  <si>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</si>
  <si>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</si>
  <si>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</si>
  <si>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</si>
  <si>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</si>
  <si>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</si>
  <si>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</si>
  <si>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</si>
  <si>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</si>
  <si>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</si>
  <si>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</si>
  <si>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</si>
  <si>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</si>
  <si>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</si>
  <si>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</si>
  <si>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</si>
  <si>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</si>
  <si>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</si>
  <si>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TB</t>
  </si>
  <si>
    <t>GDP</t>
  </si>
  <si>
    <t>HBP</t>
  </si>
  <si>
    <t>SH</t>
  </si>
  <si>
    <t>SF</t>
  </si>
  <si>
    <t>IBB</t>
  </si>
  <si>
    <t>http://www.baseball-reference.com/leagues/MLB/bat.shtml</t>
  </si>
  <si>
    <t>Rollup</t>
  </si>
  <si>
    <t>x[00]</t>
  </si>
  <si>
    <t>x[01]</t>
  </si>
  <si>
    <t>x[02]</t>
  </si>
  <si>
    <t>x[03]</t>
  </si>
  <si>
    <t>x[04]</t>
  </si>
  <si>
    <t>x[05]</t>
  </si>
  <si>
    <t>x[06]</t>
  </si>
  <si>
    <t>x[07]</t>
  </si>
  <si>
    <t>x[08]</t>
  </si>
  <si>
    <t>x[09]</t>
  </si>
  <si>
    <t>x[10]</t>
  </si>
  <si>
    <t>x[11]</t>
  </si>
  <si>
    <t>x[12]</t>
  </si>
  <si>
    <t>x[13]</t>
  </si>
  <si>
    <t>x[14]</t>
  </si>
  <si>
    <t>x[15]</t>
  </si>
  <si>
    <t>x[16]</t>
  </si>
  <si>
    <t>x[17]</t>
  </si>
  <si>
    <t>x[18]</t>
  </si>
  <si>
    <t>x[19]</t>
  </si>
  <si>
    <t>x[20]</t>
  </si>
  <si>
    <t>x[21]</t>
  </si>
  <si>
    <t>x[22]</t>
  </si>
  <si>
    <t>x[23]</t>
  </si>
  <si>
    <t>x[24]</t>
  </si>
  <si>
    <t>x[25]</t>
  </si>
  <si>
    <t>x[26]</t>
  </si>
  <si>
    <t>x[27]</t>
  </si>
  <si>
    <t>x[28]</t>
  </si>
  <si>
    <t>x[29]</t>
  </si>
  <si>
    <t>x[30]</t>
  </si>
  <si>
    <t>x[31]</t>
  </si>
  <si>
    <t>Solve freq</t>
  </si>
  <si>
    <t>WSN</t>
  </si>
  <si>
    <t>Tm</t>
  </si>
  <si>
    <t>OPS+</t>
  </si>
  <si>
    <t>ARI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</si>
  <si>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</si>
  <si>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</si>
  <si>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</si>
  <si>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</si>
  <si>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</si>
  <si>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</si>
  <si>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</si>
  <si>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</si>
  <si>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</si>
  <si>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FLA</t>
  </si>
  <si>
    <t>HOU</t>
  </si>
  <si>
    <t>KCR</t>
  </si>
  <si>
    <t>LAA</t>
  </si>
  <si>
    <t>LAD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</si>
  <si>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</si>
  <si>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</si>
  <si>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</si>
  <si>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</si>
  <si>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</si>
  <si>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</si>
  <si>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</si>
  <si>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</si>
  <si>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</si>
  <si>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</si>
  <si>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</si>
  <si>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</si>
  <si>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</si>
  <si>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</si>
  <si>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Rk</t>
  </si>
  <si>
    <t>Gm#</t>
  </si>
  <si>
    <t>Date</t>
  </si>
  <si>
    <t>Opp</t>
  </si>
  <si>
    <t>RA</t>
  </si>
  <si>
    <t>Inn</t>
  </si>
  <si>
    <t>W-L</t>
  </si>
  <si>
    <t>Rank</t>
  </si>
  <si>
    <t>GB</t>
  </si>
  <si>
    <t>Win</t>
  </si>
  <si>
    <t>Loss</t>
  </si>
  <si>
    <t>Save</t>
  </si>
  <si>
    <t>Time</t>
  </si>
  <si>
    <t>D/N</t>
  </si>
  <si>
    <t>Attendance</t>
  </si>
  <si>
    <t>Streak</t>
  </si>
  <si>
    <t>Thursday Mar 31</t>
  </si>
  <si>
    <t>boxscore</t>
  </si>
  <si>
    <t>L</t>
  </si>
  <si>
    <t>0-1</t>
  </si>
  <si>
    <t>Lowe</t>
  </si>
  <si>
    <t>Hernandez</t>
  </si>
  <si>
    <t>Kimbrel</t>
  </si>
  <si>
    <t>D</t>
  </si>
  <si>
    <t>-</t>
  </si>
  <si>
    <t>Saturday Apr 2</t>
  </si>
  <si>
    <t>W</t>
  </si>
  <si>
    <t>Lannan</t>
  </si>
  <si>
    <t>Hanson</t>
  </si>
  <si>
    <t>Burnett</t>
  </si>
  <si>
    <t>+</t>
  </si>
  <si>
    <t>Sunday Apr 3</t>
  </si>
  <si>
    <t>Hudson</t>
  </si>
  <si>
    <t>Zimmermann</t>
  </si>
  <si>
    <t>Tuesday Apr 5</t>
  </si>
  <si>
    <t>@</t>
  </si>
  <si>
    <t>Mujica</t>
  </si>
  <si>
    <t>Storen</t>
  </si>
  <si>
    <t>N</t>
  </si>
  <si>
    <t>--</t>
  </si>
  <si>
    <t>Wednesday Apr 6</t>
  </si>
  <si>
    <t>Sanches</t>
  </si>
  <si>
    <t>Gaudin</t>
  </si>
  <si>
    <t>Oviedo</t>
  </si>
  <si>
    <t>---</t>
  </si>
  <si>
    <t>Thursday Apr 7</t>
  </si>
  <si>
    <t>Coffey</t>
  </si>
  <si>
    <t>Friday Apr 8</t>
  </si>
  <si>
    <t>Dickey</t>
  </si>
  <si>
    <t>++</t>
  </si>
  <si>
    <t>Saturday Apr 9</t>
  </si>
  <si>
    <t>Capuano</t>
  </si>
  <si>
    <t>Gorzelanny</t>
  </si>
  <si>
    <t>Rodriguez</t>
  </si>
  <si>
    <t>Sunday Apr 10</t>
  </si>
  <si>
    <t>Boyer</t>
  </si>
  <si>
    <t>Tuesday Apr 12</t>
  </si>
  <si>
    <t>Blanton</t>
  </si>
  <si>
    <t>Wednesday Apr 13</t>
  </si>
  <si>
    <t>Halladay</t>
  </si>
  <si>
    <t>Thursday Apr 14</t>
  </si>
  <si>
    <t>Lee</t>
  </si>
  <si>
    <t>Friday Apr 15</t>
  </si>
  <si>
    <t>Braddock</t>
  </si>
  <si>
    <t>Sunday Apr 17 (1)</t>
  </si>
  <si>
    <t>Marquis</t>
  </si>
  <si>
    <t>Gallardo</t>
  </si>
  <si>
    <t>Sunday Apr 17 (2)</t>
  </si>
  <si>
    <t>Loe</t>
  </si>
  <si>
    <t>+++</t>
  </si>
  <si>
    <t>Wednesday Apr 20 (1)</t>
  </si>
  <si>
    <t>Westbrook</t>
  </si>
  <si>
    <t>++++</t>
  </si>
  <si>
    <t>Wednesday Apr 20 (2)</t>
  </si>
  <si>
    <t>Garcia</t>
  </si>
  <si>
    <t>Boggs</t>
  </si>
  <si>
    <t>Thursday Apr 21</t>
  </si>
  <si>
    <t>Lohse</t>
  </si>
  <si>
    <t>Saturday Apr 23</t>
  </si>
  <si>
    <t>Karstens</t>
  </si>
  <si>
    <t>Sunday Apr 24</t>
  </si>
  <si>
    <t>Correia</t>
  </si>
  <si>
    <t>Monday Apr 25</t>
  </si>
  <si>
    <t>Maholm</t>
  </si>
  <si>
    <t>Hanrahan</t>
  </si>
  <si>
    <t>Tuesday Apr 26</t>
  </si>
  <si>
    <t>Igarashi</t>
  </si>
  <si>
    <t>Wednesday Apr 27</t>
  </si>
  <si>
    <t>Beato</t>
  </si>
  <si>
    <t>Thursday Apr 28</t>
  </si>
  <si>
    <t>Friday Apr 29</t>
  </si>
  <si>
    <t>Lincecum</t>
  </si>
  <si>
    <t>Saturday Apr 30</t>
  </si>
  <si>
    <t>Mota</t>
  </si>
  <si>
    <t>Wilson</t>
  </si>
  <si>
    <t>Sunday May 1</t>
  </si>
  <si>
    <t>13-14</t>
  </si>
  <si>
    <t>Cain</t>
  </si>
  <si>
    <t>Monday May 2</t>
  </si>
  <si>
    <t>14-14</t>
  </si>
  <si>
    <t>Bumgarner</t>
  </si>
  <si>
    <t>Tuesday May 3</t>
  </si>
  <si>
    <t>14-15</t>
  </si>
  <si>
    <t>Hamels</t>
  </si>
  <si>
    <t>Wednesday May 4</t>
  </si>
  <si>
    <t>14-16</t>
  </si>
  <si>
    <t>Worley</t>
  </si>
  <si>
    <t>Thursday May 5</t>
  </si>
  <si>
    <t>14-17</t>
  </si>
  <si>
    <t>Friday May 6</t>
  </si>
  <si>
    <t>15-17</t>
  </si>
  <si>
    <t>Dunn</t>
  </si>
  <si>
    <t>Saturday May 7</t>
  </si>
  <si>
    <t>16-17</t>
  </si>
  <si>
    <t>Volstad</t>
  </si>
  <si>
    <t>Sunday May 8</t>
  </si>
  <si>
    <t>16-18</t>
  </si>
  <si>
    <t>Sanchez</t>
  </si>
  <si>
    <t>Tuesday May 10</t>
  </si>
  <si>
    <t>17-18</t>
  </si>
  <si>
    <t>Wednesday May 11</t>
  </si>
  <si>
    <t>18-18</t>
  </si>
  <si>
    <t>Linebrink</t>
  </si>
  <si>
    <t>Thursday May 12</t>
  </si>
  <si>
    <t>18-19</t>
  </si>
  <si>
    <t>Slaten</t>
  </si>
  <si>
    <t>Friday May 13</t>
  </si>
  <si>
    <t>18-20</t>
  </si>
  <si>
    <t>Broderick</t>
  </si>
  <si>
    <t>Saturday May 14</t>
  </si>
  <si>
    <t>18-21</t>
  </si>
  <si>
    <t>Sunday May 15</t>
  </si>
  <si>
    <t>19-21</t>
  </si>
  <si>
    <t>Vazquez</t>
  </si>
  <si>
    <t>Monday May 16</t>
  </si>
  <si>
    <t>20-21</t>
  </si>
  <si>
    <t>Kimball</t>
  </si>
  <si>
    <t>Wednesday May 18</t>
  </si>
  <si>
    <t>20-22</t>
  </si>
  <si>
    <t>Niese</t>
  </si>
  <si>
    <t>Thursday May 19</t>
  </si>
  <si>
    <t>20-23</t>
  </si>
  <si>
    <t>Gee</t>
  </si>
  <si>
    <t>Friday May 20</t>
  </si>
  <si>
    <t>21-23</t>
  </si>
  <si>
    <t>Arrieta</t>
  </si>
  <si>
    <t>Saturday May 21</t>
  </si>
  <si>
    <t>21-24</t>
  </si>
  <si>
    <t>Guthrie</t>
  </si>
  <si>
    <t>Sunday May 22</t>
  </si>
  <si>
    <t>21-25</t>
  </si>
  <si>
    <t>Johnson</t>
  </si>
  <si>
    <t>Gregg</t>
  </si>
  <si>
    <t>Monday May 23</t>
  </si>
  <si>
    <t>21-26</t>
  </si>
  <si>
    <t>Tuesday May 24</t>
  </si>
  <si>
    <t>21-27</t>
  </si>
  <si>
    <t>McClendon</t>
  </si>
  <si>
    <t>Axford</t>
  </si>
  <si>
    <t>----</t>
  </si>
  <si>
    <t>Wednesday May 25</t>
  </si>
  <si>
    <t>21-28</t>
  </si>
  <si>
    <t>Greinke</t>
  </si>
  <si>
    <t>-----</t>
  </si>
  <si>
    <t>Friday May 27</t>
  </si>
  <si>
    <t>22-28</t>
  </si>
  <si>
    <t>Adams</t>
  </si>
  <si>
    <t>Saturday May 28</t>
  </si>
  <si>
    <t>22-29</t>
  </si>
  <si>
    <t>Stauffer</t>
  </si>
  <si>
    <t>Bell</t>
  </si>
  <si>
    <t>Sunday May 29</t>
  </si>
  <si>
    <t>22-30</t>
  </si>
  <si>
    <t>Gregerson</t>
  </si>
  <si>
    <t>Monday May 30</t>
  </si>
  <si>
    <t>22-31</t>
  </si>
  <si>
    <t>Madson</t>
  </si>
  <si>
    <t>Tuesday May 31</t>
  </si>
  <si>
    <t>23-31</t>
  </si>
  <si>
    <t>Wednesday Jun 1</t>
  </si>
  <si>
    <t>24-31</t>
  </si>
  <si>
    <t>Oswalt</t>
  </si>
  <si>
    <t>Thursday Jun 2</t>
  </si>
  <si>
    <t>25-31</t>
  </si>
  <si>
    <t>Duke</t>
  </si>
  <si>
    <t>Friday Jun 3</t>
  </si>
  <si>
    <t>25-32</t>
  </si>
  <si>
    <t>Collmenter</t>
  </si>
  <si>
    <t>Maya</t>
  </si>
  <si>
    <t>Saturday Jun 4</t>
  </si>
  <si>
    <t>25-33</t>
  </si>
  <si>
    <t>Saunders</t>
  </si>
  <si>
    <t>Putz</t>
  </si>
  <si>
    <t>Sunday Jun 5</t>
  </si>
  <si>
    <t>26-33</t>
  </si>
  <si>
    <t>Paterson</t>
  </si>
  <si>
    <t>Monday Jun 6</t>
  </si>
  <si>
    <t>26-34</t>
  </si>
  <si>
    <t>Lopez</t>
  </si>
  <si>
    <t>Stammen</t>
  </si>
  <si>
    <t>Tuesday Jun 7</t>
  </si>
  <si>
    <t>27-34</t>
  </si>
  <si>
    <t>Wednesday Jun 8</t>
  </si>
  <si>
    <t>27-35</t>
  </si>
  <si>
    <t>Thursday Jun 9</t>
  </si>
  <si>
    <t>27-36</t>
  </si>
  <si>
    <t>Harang</t>
  </si>
  <si>
    <t>Friday Jun 10</t>
  </si>
  <si>
    <t>28-36</t>
  </si>
  <si>
    <t>Latos</t>
  </si>
  <si>
    <t>Saturday Jun 11</t>
  </si>
  <si>
    <t>29-36</t>
  </si>
  <si>
    <t>Richard</t>
  </si>
  <si>
    <t>Sunday Jun 12</t>
  </si>
  <si>
    <t>30-36</t>
  </si>
  <si>
    <t>Tuesday Jun 14</t>
  </si>
  <si>
    <t>31-36</t>
  </si>
  <si>
    <t>Batista</t>
  </si>
  <si>
    <t>Wednesday Jun 15</t>
  </si>
  <si>
    <t>32-36</t>
  </si>
  <si>
    <t>McClellan</t>
  </si>
  <si>
    <t>+++++</t>
  </si>
  <si>
    <t>Thursday Jun 16</t>
  </si>
  <si>
    <t>33-36</t>
  </si>
  <si>
    <t>Salas</t>
  </si>
  <si>
    <t>++++++</t>
  </si>
  <si>
    <t>Friday Jun 17</t>
  </si>
  <si>
    <t>34-36</t>
  </si>
  <si>
    <t>Accardo</t>
  </si>
  <si>
    <t>+++++++</t>
  </si>
  <si>
    <t>Saturday Jun 18</t>
  </si>
  <si>
    <t>35-36</t>
  </si>
  <si>
    <t>Matusz</t>
  </si>
  <si>
    <t>++++++++</t>
  </si>
  <si>
    <t>Sunday Jun 19</t>
  </si>
  <si>
    <t>35-37</t>
  </si>
  <si>
    <t>Jakubauskas</t>
  </si>
  <si>
    <t>Tuesday Jun 21</t>
  </si>
  <si>
    <t>36-37</t>
  </si>
  <si>
    <t>Pauley</t>
  </si>
  <si>
    <t>Wednesday Jun 22</t>
  </si>
  <si>
    <t>37-37</t>
  </si>
  <si>
    <t>Bedard</t>
  </si>
  <si>
    <t>Thursday Jun 23</t>
  </si>
  <si>
    <t>38-37</t>
  </si>
  <si>
    <t>Clippard</t>
  </si>
  <si>
    <t>Ray</t>
  </si>
  <si>
    <t>Friday Jun 24</t>
  </si>
  <si>
    <t>39-37</t>
  </si>
  <si>
    <t>Balester</t>
  </si>
  <si>
    <t>Thornton</t>
  </si>
  <si>
    <t>Saturday Jun 25</t>
  </si>
  <si>
    <t>39-38</t>
  </si>
  <si>
    <t>Peavy</t>
  </si>
  <si>
    <t>Santos</t>
  </si>
  <si>
    <t>Sunday Jun 26</t>
  </si>
  <si>
    <t>40-38</t>
  </si>
  <si>
    <t>Humber</t>
  </si>
  <si>
    <t>Monday Jun 27</t>
  </si>
  <si>
    <t>40-39</t>
  </si>
  <si>
    <t>Downs</t>
  </si>
  <si>
    <t>Tuesday Jun 28</t>
  </si>
  <si>
    <t>40-40</t>
  </si>
  <si>
    <t>Takahashi</t>
  </si>
  <si>
    <t>Wednesday Jun 29</t>
  </si>
  <si>
    <t>40-41</t>
  </si>
  <si>
    <t>Haren</t>
  </si>
  <si>
    <t>Walden</t>
  </si>
  <si>
    <t>Friday Jul 1</t>
  </si>
  <si>
    <t>41-41</t>
  </si>
  <si>
    <t>Wood</t>
  </si>
  <si>
    <t>Saturday Jul 2 (1)</t>
  </si>
  <si>
    <t>41-42</t>
  </si>
  <si>
    <t>Veras</t>
  </si>
  <si>
    <t>Saturday Jul 2 (2)</t>
  </si>
  <si>
    <t>42-42</t>
  </si>
  <si>
    <t>Mattheus</t>
  </si>
  <si>
    <t>Watson</t>
  </si>
  <si>
    <t>Sunday Jul 3</t>
  </si>
  <si>
    <t>42-43</t>
  </si>
  <si>
    <t>Monday Jul 4</t>
  </si>
  <si>
    <t>43-43</t>
  </si>
  <si>
    <t>Mateo</t>
  </si>
  <si>
    <t>Tuesday Jul 5</t>
  </si>
  <si>
    <t>44-43</t>
  </si>
  <si>
    <t>Detwiler</t>
  </si>
  <si>
    <t>Ortiz</t>
  </si>
  <si>
    <t>Wednesday Jul 6</t>
  </si>
  <si>
    <t>45-43</t>
  </si>
  <si>
    <t>Thursday Jul 7</t>
  </si>
  <si>
    <t>45-44</t>
  </si>
  <si>
    <t>Marshall</t>
  </si>
  <si>
    <t>Marmol</t>
  </si>
  <si>
    <t>Friday Jul 8</t>
  </si>
  <si>
    <t>45-45</t>
  </si>
  <si>
    <t>Hammel</t>
  </si>
  <si>
    <t>Street</t>
  </si>
  <si>
    <t>Saturday Jul 9</t>
  </si>
  <si>
    <t>45-46</t>
  </si>
  <si>
    <t>Jimenez</t>
  </si>
  <si>
    <t>Sunday Jul 10</t>
  </si>
  <si>
    <t>46-46</t>
  </si>
  <si>
    <t>Chacin</t>
  </si>
  <si>
    <t>Friday Jul 15</t>
  </si>
  <si>
    <t>46-47</t>
  </si>
  <si>
    <t>Saturday Jul 16</t>
  </si>
  <si>
    <t>47-47</t>
  </si>
  <si>
    <t>Sunday Jul 17</t>
  </si>
  <si>
    <t>47-48</t>
  </si>
  <si>
    <t>Monday Jul 18</t>
  </si>
  <si>
    <t>48-48</t>
  </si>
  <si>
    <t>Lyles</t>
  </si>
  <si>
    <t>Tuesday Jul 19</t>
  </si>
  <si>
    <t>48-49</t>
  </si>
  <si>
    <t>Happ</t>
  </si>
  <si>
    <t>Melancon</t>
  </si>
  <si>
    <t>Wednesday Jul 20</t>
  </si>
  <si>
    <t>48-50</t>
  </si>
  <si>
    <t>Friday Jul 22</t>
  </si>
  <si>
    <t>49-50</t>
  </si>
  <si>
    <t>Kuroda</t>
  </si>
  <si>
    <t>Saturday Jul 23</t>
  </si>
  <si>
    <t>49-51</t>
  </si>
  <si>
    <t>Guerra</t>
  </si>
  <si>
    <t>Sunday Jul 24</t>
  </si>
  <si>
    <t>49-52</t>
  </si>
  <si>
    <t>Billingsley</t>
  </si>
  <si>
    <t>Tuesday Jul 26</t>
  </si>
  <si>
    <t>49-53</t>
  </si>
  <si>
    <t>Nolasco</t>
  </si>
  <si>
    <t>Wednesday Jul 27</t>
  </si>
  <si>
    <t>49-54</t>
  </si>
  <si>
    <t>Thursday Jul 28</t>
  </si>
  <si>
    <t>49-55</t>
  </si>
  <si>
    <t>Friday Jul 29</t>
  </si>
  <si>
    <t>49-56</t>
  </si>
  <si>
    <t>Wang</t>
  </si>
  <si>
    <t>Isringhausen</t>
  </si>
  <si>
    <t>------</t>
  </si>
  <si>
    <t>Saturday Jul 30</t>
  </si>
  <si>
    <t>50-56</t>
  </si>
  <si>
    <t>Sunday Jul 31</t>
  </si>
  <si>
    <t>51-56</t>
  </si>
  <si>
    <t>Parnell</t>
  </si>
  <si>
    <t>Monday Aug 1</t>
  </si>
  <si>
    <t>52-56</t>
  </si>
  <si>
    <t>Jurrjens</t>
  </si>
  <si>
    <t>Tuesday Aug 2</t>
  </si>
  <si>
    <t>53-56</t>
  </si>
  <si>
    <t>Wednesday Aug 3</t>
  </si>
  <si>
    <t>53-57</t>
  </si>
  <si>
    <t>Beachy</t>
  </si>
  <si>
    <t>Thursday Aug 4</t>
  </si>
  <si>
    <t>53-58</t>
  </si>
  <si>
    <t>Rogers</t>
  </si>
  <si>
    <t>Friday Aug 5</t>
  </si>
  <si>
    <t>54-58</t>
  </si>
  <si>
    <t>Nicasio</t>
  </si>
  <si>
    <t>Saturday Aug 6</t>
  </si>
  <si>
    <t>54-59</t>
  </si>
  <si>
    <t>Sunday Aug 7</t>
  </si>
  <si>
    <t>55-59</t>
  </si>
  <si>
    <t>Belisle</t>
  </si>
  <si>
    <t>Tuesday Aug 9</t>
  </si>
  <si>
    <t>56-59</t>
  </si>
  <si>
    <t>Garza</t>
  </si>
  <si>
    <t>Wednesday Aug 10</t>
  </si>
  <si>
    <t>56-60</t>
  </si>
  <si>
    <t>Thursday Aug 11</t>
  </si>
  <si>
    <t>56-61</t>
  </si>
  <si>
    <t>Dempster</t>
  </si>
  <si>
    <t>Friday Aug 12</t>
  </si>
  <si>
    <t>57-61</t>
  </si>
  <si>
    <t>Saturday Aug 13</t>
  </si>
  <si>
    <t>57-62</t>
  </si>
  <si>
    <t>Tuesday Aug 16</t>
  </si>
  <si>
    <t>58-62</t>
  </si>
  <si>
    <t>Leake</t>
  </si>
  <si>
    <t>Wednesday Aug 17</t>
  </si>
  <si>
    <t>58-63</t>
  </si>
  <si>
    <t>Cueto</t>
  </si>
  <si>
    <t>Cordero</t>
  </si>
  <si>
    <t>Thursday Aug 18</t>
  </si>
  <si>
    <t>59-63</t>
  </si>
  <si>
    <t>Arroyo</t>
  </si>
  <si>
    <t>Friday Aug 19</t>
  </si>
  <si>
    <t>60-63</t>
  </si>
  <si>
    <t>Saturday Aug 20</t>
  </si>
  <si>
    <t>60-64</t>
  </si>
  <si>
    <t>Sunday Aug 21</t>
  </si>
  <si>
    <t>61-64</t>
  </si>
  <si>
    <t>Lidge</t>
  </si>
  <si>
    <t>Monday Aug 22</t>
  </si>
  <si>
    <t>62-64</t>
  </si>
  <si>
    <t>Tuesday Aug 23</t>
  </si>
  <si>
    <t>62-65</t>
  </si>
  <si>
    <t>Kennedy</t>
  </si>
  <si>
    <t>Wednesday Aug 24</t>
  </si>
  <si>
    <t>62-66</t>
  </si>
  <si>
    <t>Thursday Aug 25</t>
  </si>
  <si>
    <t>62-67</t>
  </si>
  <si>
    <t>Miley</t>
  </si>
  <si>
    <t>Friday Aug 26</t>
  </si>
  <si>
    <t>62-68</t>
  </si>
  <si>
    <t>Saturday Aug 27</t>
  </si>
  <si>
    <t>62-69</t>
  </si>
  <si>
    <t>Sunday Aug 28</t>
  </si>
  <si>
    <t>62-70</t>
  </si>
  <si>
    <t>Bray</t>
  </si>
  <si>
    <t>Tuesday Aug 30</t>
  </si>
  <si>
    <t>63-70</t>
  </si>
  <si>
    <t>Wednesday Aug 31</t>
  </si>
  <si>
    <t>63-71</t>
  </si>
  <si>
    <t>Thursday Sep 1</t>
  </si>
  <si>
    <t>63-72</t>
  </si>
  <si>
    <t>Friday Sep 2</t>
  </si>
  <si>
    <t>63-73</t>
  </si>
  <si>
    <t>Saturday Sep 3</t>
  </si>
  <si>
    <t>64-73</t>
  </si>
  <si>
    <t>Sunday Sep 4</t>
  </si>
  <si>
    <t>64-74</t>
  </si>
  <si>
    <t>Monday Sep 5</t>
  </si>
  <si>
    <t>65-74</t>
  </si>
  <si>
    <t>Tuesday Sep 6</t>
  </si>
  <si>
    <t>65-75</t>
  </si>
  <si>
    <t>Jansen</t>
  </si>
  <si>
    <t>Thursday Sep 8</t>
  </si>
  <si>
    <t>65-76</t>
  </si>
  <si>
    <t>MacDougal</t>
  </si>
  <si>
    <t>Friday Sep 9</t>
  </si>
  <si>
    <t>66-76</t>
  </si>
  <si>
    <t>Harrell</t>
  </si>
  <si>
    <t>Saturday Sep 10</t>
  </si>
  <si>
    <t>66-77</t>
  </si>
  <si>
    <t>Sunday Sep 11</t>
  </si>
  <si>
    <t>67-77</t>
  </si>
  <si>
    <t>Sosa</t>
  </si>
  <si>
    <t>Monday Sep 12</t>
  </si>
  <si>
    <t>68-77</t>
  </si>
  <si>
    <t>Tuesday Sep 13</t>
  </si>
  <si>
    <t>69-77</t>
  </si>
  <si>
    <t>Thayer</t>
  </si>
  <si>
    <t>Wednesday Sep 14</t>
  </si>
  <si>
    <t>70-77</t>
  </si>
  <si>
    <t>Peacock</t>
  </si>
  <si>
    <t>Pelfrey</t>
  </si>
  <si>
    <t>Thursday Sep 15</t>
  </si>
  <si>
    <t>71-77</t>
  </si>
  <si>
    <t>Milone</t>
  </si>
  <si>
    <t>Schwinden</t>
  </si>
  <si>
    <t>Friday Sep 16</t>
  </si>
  <si>
    <t>71-78</t>
  </si>
  <si>
    <t>Saturday Sep 17</t>
  </si>
  <si>
    <t>71-79</t>
  </si>
  <si>
    <t>Hensley</t>
  </si>
  <si>
    <t>Sunday Sep 18</t>
  </si>
  <si>
    <t>72-79</t>
  </si>
  <si>
    <t>Hand</t>
  </si>
  <si>
    <t>Tuesday Sep 20 (1)</t>
  </si>
  <si>
    <t>73-79</t>
  </si>
  <si>
    <t>Stutes</t>
  </si>
  <si>
    <t>Tuesday Sep 20 (2)</t>
  </si>
  <si>
    <t>74-79</t>
  </si>
  <si>
    <t>Wednesday Sep 21</t>
  </si>
  <si>
    <t>75-79</t>
  </si>
  <si>
    <t>Thursday Sep 22</t>
  </si>
  <si>
    <t>76-79</t>
  </si>
  <si>
    <t>Friday Sep 23</t>
  </si>
  <si>
    <t>76-80</t>
  </si>
  <si>
    <t>Strasburg</t>
  </si>
  <si>
    <t>Saturday Sep 24</t>
  </si>
  <si>
    <t>77-80</t>
  </si>
  <si>
    <t>Sunday Sep 25</t>
  </si>
  <si>
    <t>78-80</t>
  </si>
  <si>
    <t>Minor</t>
  </si>
  <si>
    <t>Monday Sep 26</t>
  </si>
  <si>
    <t>79-80</t>
  </si>
  <si>
    <t>Severino</t>
  </si>
  <si>
    <t>Tuesday Sep 27</t>
  </si>
  <si>
    <t>79-81</t>
  </si>
  <si>
    <t>Wednesday Sep 28</t>
  </si>
  <si>
    <t>80-81</t>
  </si>
  <si>
    <t>1-1</t>
  </si>
  <si>
    <t>1-2</t>
  </si>
  <si>
    <t>1-3</t>
  </si>
  <si>
    <t>1-4</t>
  </si>
  <si>
    <t>2-4</t>
  </si>
  <si>
    <t>3-4</t>
  </si>
  <si>
    <t>3-5</t>
  </si>
  <si>
    <t>4-5</t>
  </si>
  <si>
    <t>5-5</t>
  </si>
  <si>
    <t>5-6</t>
  </si>
  <si>
    <t>5-7</t>
  </si>
  <si>
    <t>6-7</t>
  </si>
  <si>
    <t>7-7</t>
  </si>
  <si>
    <t>8-7</t>
  </si>
  <si>
    <t>9-7</t>
  </si>
  <si>
    <t>9-8</t>
  </si>
  <si>
    <t>9-9</t>
  </si>
  <si>
    <t>9-10</t>
  </si>
  <si>
    <t>10-10</t>
  </si>
  <si>
    <t>10-11</t>
  </si>
  <si>
    <t>10-12</t>
  </si>
  <si>
    <t>10-13</t>
  </si>
  <si>
    <t>11-13</t>
  </si>
  <si>
    <t>12-13</t>
  </si>
  <si>
    <t>12-14</t>
  </si>
  <si>
    <t>Game #-1</t>
  </si>
  <si>
    <t>Game #0</t>
  </si>
  <si>
    <t>Game #1</t>
  </si>
  <si>
    <t>Game #2</t>
  </si>
  <si>
    <t>Game #3</t>
  </si>
  <si>
    <t>Game #4</t>
  </si>
  <si>
    <t>Game #5</t>
  </si>
  <si>
    <t>Game #6</t>
  </si>
  <si>
    <t>Game #7</t>
  </si>
  <si>
    <t>Game #8</t>
  </si>
  <si>
    <t>Game #9</t>
  </si>
  <si>
    <t>Game #10</t>
  </si>
  <si>
    <t>Game #11</t>
  </si>
  <si>
    <t>Game #12</t>
  </si>
  <si>
    <t>Game #13</t>
  </si>
  <si>
    <t>Game #14</t>
  </si>
  <si>
    <t>Game #15</t>
  </si>
  <si>
    <t>Game #16</t>
  </si>
  <si>
    <t>Game #17</t>
  </si>
  <si>
    <t>Game #18</t>
  </si>
  <si>
    <t>Game #19</t>
  </si>
  <si>
    <t>Game #20</t>
  </si>
  <si>
    <t>Game #21</t>
  </si>
  <si>
    <t>Game #22</t>
  </si>
  <si>
    <t>Game #23</t>
  </si>
  <si>
    <t>Game #24</t>
  </si>
  <si>
    <t>Game #25</t>
  </si>
  <si>
    <t>Game #26</t>
  </si>
  <si>
    <t>Game #27</t>
  </si>
  <si>
    <t>Game #28</t>
  </si>
  <si>
    <t>Game #29</t>
  </si>
  <si>
    <t>Game #30</t>
  </si>
  <si>
    <t>Game #31</t>
  </si>
  <si>
    <t>Game #32</t>
  </si>
  <si>
    <t>Game #33</t>
  </si>
  <si>
    <t>Game #34</t>
  </si>
  <si>
    <t>Game #35</t>
  </si>
  <si>
    <t>Game #36</t>
  </si>
  <si>
    <t>Game #37</t>
  </si>
  <si>
    <t>Game #38</t>
  </si>
  <si>
    <t>Game #39</t>
  </si>
  <si>
    <t>Game #40</t>
  </si>
  <si>
    <t>Game #41</t>
  </si>
  <si>
    <t>Game #42</t>
  </si>
  <si>
    <t>Game #43</t>
  </si>
  <si>
    <t>Game #44</t>
  </si>
  <si>
    <t>Game #45</t>
  </si>
  <si>
    <t>Game #46</t>
  </si>
  <si>
    <t>Game #47</t>
  </si>
  <si>
    <t>Game #48</t>
  </si>
  <si>
    <t>Game #49</t>
  </si>
  <si>
    <t>Game #50</t>
  </si>
  <si>
    <t>Game #51</t>
  </si>
  <si>
    <t>Game #52</t>
  </si>
  <si>
    <t>Game #53</t>
  </si>
  <si>
    <t>Game #54</t>
  </si>
  <si>
    <t>Game #55</t>
  </si>
  <si>
    <t>Game #56</t>
  </si>
  <si>
    <t>Game #57</t>
  </si>
  <si>
    <t>Game #58</t>
  </si>
  <si>
    <t>Game #59</t>
  </si>
  <si>
    <t>Game #60</t>
  </si>
  <si>
    <t>Game #61</t>
  </si>
  <si>
    <t>Game #62</t>
  </si>
  <si>
    <t>Game #63</t>
  </si>
  <si>
    <t>Game #64</t>
  </si>
  <si>
    <t>Game #65</t>
  </si>
  <si>
    <t>Game #66</t>
  </si>
  <si>
    <t>Game #67</t>
  </si>
  <si>
    <t>Game #68</t>
  </si>
  <si>
    <t>Game #69</t>
  </si>
  <si>
    <t>Game #70</t>
  </si>
  <si>
    <t>Game #71</t>
  </si>
  <si>
    <t>Game #72</t>
  </si>
  <si>
    <t>Game #73</t>
  </si>
  <si>
    <t>Game #74</t>
  </si>
  <si>
    <t>Game #75</t>
  </si>
  <si>
    <t>Game #76</t>
  </si>
  <si>
    <t>Game #77</t>
  </si>
  <si>
    <t>Game #78</t>
  </si>
  <si>
    <t>Game #79</t>
  </si>
  <si>
    <t>1999-2002</t>
  </si>
  <si>
    <t>Runner 3rd</t>
  </si>
  <si>
    <t>Runner 2nd</t>
  </si>
  <si>
    <t>Runner 1st</t>
  </si>
  <si>
    <t>0 Out</t>
  </si>
  <si>
    <t>1 Out</t>
  </si>
  <si>
    <t>2 Out</t>
  </si>
  <si>
    <t>“The Book”</t>
  </si>
  <si>
    <t>ValueStart</t>
  </si>
  <si>
    <t>ValueEnd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</si>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</sst>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164" fontId="0" fillId="0" borderId="0" xfId="0" applyNumberFormat="1"/>
    <xf numFmtId="20" fontId="0" fillId="0" borderId="0" xfId="0" applyNumberFormat="1"/>
    <xf numFmtId="49" fontId="0" fillId="0" borderId="0" xfId="0" applyNumberFormat="1"/>
    <xf numFmtId="0" fontId="2" fillId="0" borderId="0" xfId="0" applyFont="1"/>
    <xf numFmtId="10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0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aseball-reference.com/leagues/MLB/bat.s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155"/>
  <sheetViews>
    <sheetView topLeftCell="A131" workbookViewId="0"/>
  </sheetViews>
  <sheetFormatPr defaultRowHeight="15" x14ac:dyDescent="0.25"/>
  <cols>
    <col min="1" max="2" width="6.7109375" customWidth="1"/>
    <col min="3" max="4" width="6.7109375" bestFit="1" customWidth="1"/>
    <col min="5" max="5" width="5.7109375" bestFit="1" customWidth="1"/>
    <col min="6" max="8" width="4.7109375" customWidth="1"/>
    <col min="9" max="10" width="6.7109375" customWidth="1"/>
    <col min="11" max="16" width="5.7109375" customWidth="1"/>
    <col min="17" max="18" width="6.7109375" customWidth="1"/>
    <col min="19" max="32" width="5.7109375" customWidth="1"/>
    <col min="33" max="36" width="6.7109375" customWidth="1"/>
    <col min="37" max="48" width="5.7109375" customWidth="1"/>
    <col min="49" max="49" width="6.7109375" customWidth="1"/>
    <col min="50" max="50" width="4.7109375" customWidth="1"/>
    <col min="51" max="51" width="5.7109375" customWidth="1"/>
    <col min="52" max="52" width="3.7109375" customWidth="1"/>
    <col min="53" max="53" width="5.7109375" customWidth="1"/>
    <col min="54" max="54" width="2.7109375" customWidth="1"/>
    <col min="55" max="55" width="5.7109375" customWidth="1"/>
    <col min="56" max="56" width="2.7109375" customWidth="1"/>
    <col min="57" max="57" width="5.7109375" customWidth="1"/>
    <col min="58" max="58" width="3.7109375" customWidth="1"/>
    <col min="59" max="59" width="5.7109375" customWidth="1"/>
    <col min="60" max="60" width="2" customWidth="1"/>
    <col min="61" max="61" width="5.7109375" customWidth="1"/>
    <col min="62" max="62" width="2" customWidth="1"/>
    <col min="63" max="63" width="5.7109375" customWidth="1"/>
    <col min="64" max="64" width="2" customWidth="1"/>
  </cols>
  <sheetData>
    <row r="2" spans="1:65" x14ac:dyDescent="0.25">
      <c r="A2">
        <v>-1687</v>
      </c>
      <c r="B2">
        <v>1687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 x14ac:dyDescent="0.25">
      <c r="A3">
        <v>1227</v>
      </c>
      <c r="B3">
        <v>-45331</v>
      </c>
      <c r="C3">
        <v>10866</v>
      </c>
      <c r="D3">
        <v>0</v>
      </c>
      <c r="E3">
        <v>2266</v>
      </c>
      <c r="F3">
        <v>0</v>
      </c>
      <c r="G3">
        <v>0</v>
      </c>
      <c r="H3">
        <v>0</v>
      </c>
      <c r="I3">
        <v>262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30710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-1227</v>
      </c>
    </row>
    <row r="4" spans="1:65" x14ac:dyDescent="0.25">
      <c r="A4">
        <v>0</v>
      </c>
      <c r="B4">
        <v>0</v>
      </c>
      <c r="C4">
        <v>-11139</v>
      </c>
      <c r="D4">
        <v>11139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>
        <v>262</v>
      </c>
      <c r="B5">
        <v>1</v>
      </c>
      <c r="C5">
        <v>1</v>
      </c>
      <c r="D5">
        <v>-11139</v>
      </c>
      <c r="E5">
        <v>148</v>
      </c>
      <c r="F5">
        <v>793</v>
      </c>
      <c r="G5">
        <v>1866</v>
      </c>
      <c r="H5">
        <v>0</v>
      </c>
      <c r="I5">
        <v>49</v>
      </c>
      <c r="J5">
        <v>47</v>
      </c>
      <c r="K5">
        <v>422</v>
      </c>
      <c r="L5">
        <v>0</v>
      </c>
      <c r="M5">
        <v>347</v>
      </c>
      <c r="N5">
        <v>0</v>
      </c>
      <c r="O5">
        <v>0</v>
      </c>
      <c r="P5">
        <v>0</v>
      </c>
      <c r="Q5">
        <v>4</v>
      </c>
      <c r="R5">
        <v>313</v>
      </c>
      <c r="S5">
        <v>4394</v>
      </c>
      <c r="T5">
        <v>0</v>
      </c>
      <c r="U5">
        <v>1325</v>
      </c>
      <c r="V5">
        <v>0</v>
      </c>
      <c r="W5">
        <v>0</v>
      </c>
      <c r="X5">
        <v>0</v>
      </c>
      <c r="Y5">
        <v>28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1139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-727</v>
      </c>
    </row>
    <row r="6" spans="1:65" x14ac:dyDescent="0.25">
      <c r="A6">
        <v>0</v>
      </c>
      <c r="B6">
        <v>0</v>
      </c>
      <c r="C6">
        <v>0</v>
      </c>
      <c r="D6">
        <v>0</v>
      </c>
      <c r="E6">
        <v>-2703</v>
      </c>
      <c r="F6">
        <v>2703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>
        <v>57</v>
      </c>
      <c r="B7">
        <v>0</v>
      </c>
      <c r="C7">
        <v>162</v>
      </c>
      <c r="D7">
        <v>0</v>
      </c>
      <c r="E7">
        <v>185</v>
      </c>
      <c r="F7">
        <v>-3501</v>
      </c>
      <c r="G7">
        <v>373</v>
      </c>
      <c r="H7">
        <v>0</v>
      </c>
      <c r="I7">
        <v>12</v>
      </c>
      <c r="J7">
        <v>84</v>
      </c>
      <c r="K7">
        <v>306</v>
      </c>
      <c r="L7">
        <v>0</v>
      </c>
      <c r="M7">
        <v>10</v>
      </c>
      <c r="N7">
        <v>0</v>
      </c>
      <c r="O7">
        <v>0</v>
      </c>
      <c r="P7">
        <v>0</v>
      </c>
      <c r="Q7">
        <v>7</v>
      </c>
      <c r="R7">
        <v>19</v>
      </c>
      <c r="S7">
        <v>51</v>
      </c>
      <c r="T7">
        <v>0</v>
      </c>
      <c r="U7">
        <v>1230</v>
      </c>
      <c r="V7">
        <v>0</v>
      </c>
      <c r="W7">
        <v>0</v>
      </c>
      <c r="X7">
        <v>0</v>
      </c>
      <c r="Y7">
        <v>987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-480</v>
      </c>
    </row>
    <row r="8" spans="1:6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-2491</v>
      </c>
      <c r="H8">
        <v>2491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>
        <v>60</v>
      </c>
      <c r="B9">
        <v>0</v>
      </c>
      <c r="C9">
        <v>0</v>
      </c>
      <c r="D9">
        <v>0</v>
      </c>
      <c r="E9">
        <v>32</v>
      </c>
      <c r="F9">
        <v>0</v>
      </c>
      <c r="G9">
        <v>90</v>
      </c>
      <c r="H9">
        <v>-2487</v>
      </c>
      <c r="I9">
        <v>12</v>
      </c>
      <c r="J9">
        <v>2</v>
      </c>
      <c r="K9">
        <v>55</v>
      </c>
      <c r="L9">
        <v>9</v>
      </c>
      <c r="M9">
        <v>82</v>
      </c>
      <c r="N9">
        <v>82</v>
      </c>
      <c r="O9">
        <v>404</v>
      </c>
      <c r="P9">
        <v>0</v>
      </c>
      <c r="Q9">
        <v>1</v>
      </c>
      <c r="R9">
        <v>1</v>
      </c>
      <c r="S9">
        <v>4</v>
      </c>
      <c r="T9">
        <v>12</v>
      </c>
      <c r="U9">
        <v>4</v>
      </c>
      <c r="V9">
        <v>7</v>
      </c>
      <c r="W9">
        <v>816</v>
      </c>
      <c r="X9">
        <v>0</v>
      </c>
      <c r="Y9">
        <v>1</v>
      </c>
      <c r="Z9">
        <v>1</v>
      </c>
      <c r="AA9">
        <v>236</v>
      </c>
      <c r="AB9">
        <v>0</v>
      </c>
      <c r="AC9">
        <v>339</v>
      </c>
      <c r="AD9">
        <v>0</v>
      </c>
      <c r="AE9">
        <v>0</v>
      </c>
      <c r="AF9">
        <v>0</v>
      </c>
      <c r="AG9">
        <v>1</v>
      </c>
      <c r="AH9">
        <v>0</v>
      </c>
      <c r="AI9">
        <v>17</v>
      </c>
      <c r="AJ9">
        <v>0</v>
      </c>
      <c r="AK9">
        <v>18</v>
      </c>
      <c r="AL9">
        <v>0</v>
      </c>
      <c r="AM9">
        <v>0</v>
      </c>
      <c r="AN9">
        <v>0</v>
      </c>
      <c r="AO9">
        <v>198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-510</v>
      </c>
    </row>
    <row r="10" spans="1:6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-342</v>
      </c>
      <c r="J10">
        <v>342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>
        <v>16</v>
      </c>
      <c r="B11">
        <v>3</v>
      </c>
      <c r="C11">
        <v>86</v>
      </c>
      <c r="D11">
        <v>0</v>
      </c>
      <c r="E11">
        <v>23</v>
      </c>
      <c r="F11">
        <v>0</v>
      </c>
      <c r="G11">
        <v>0</v>
      </c>
      <c r="H11">
        <v>0</v>
      </c>
      <c r="I11">
        <v>1</v>
      </c>
      <c r="J11">
        <v>-485</v>
      </c>
      <c r="K11">
        <v>55</v>
      </c>
      <c r="L11">
        <v>0</v>
      </c>
      <c r="M11">
        <v>0</v>
      </c>
      <c r="N11">
        <v>0</v>
      </c>
      <c r="O11">
        <v>0</v>
      </c>
      <c r="P11">
        <v>0</v>
      </c>
      <c r="Q11">
        <v>126</v>
      </c>
      <c r="R11">
        <v>1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169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-271</v>
      </c>
    </row>
    <row r="12" spans="1:6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-932</v>
      </c>
      <c r="L12">
        <v>932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>
        <v>32</v>
      </c>
      <c r="B13">
        <v>0</v>
      </c>
      <c r="C13">
        <v>0</v>
      </c>
      <c r="D13">
        <v>1</v>
      </c>
      <c r="E13">
        <v>9</v>
      </c>
      <c r="F13">
        <v>7</v>
      </c>
      <c r="G13">
        <v>135</v>
      </c>
      <c r="H13">
        <v>0</v>
      </c>
      <c r="I13">
        <v>2</v>
      </c>
      <c r="J13">
        <v>2</v>
      </c>
      <c r="K13">
        <v>30</v>
      </c>
      <c r="L13">
        <v>-941</v>
      </c>
      <c r="M13">
        <v>29</v>
      </c>
      <c r="N13">
        <v>48</v>
      </c>
      <c r="O13">
        <v>63</v>
      </c>
      <c r="P13">
        <v>0</v>
      </c>
      <c r="Q13">
        <v>0</v>
      </c>
      <c r="R13">
        <v>0</v>
      </c>
      <c r="S13">
        <v>143</v>
      </c>
      <c r="T13">
        <v>0</v>
      </c>
      <c r="U13">
        <v>61</v>
      </c>
      <c r="V13">
        <v>1</v>
      </c>
      <c r="W13">
        <v>25</v>
      </c>
      <c r="X13">
        <v>0</v>
      </c>
      <c r="Y13">
        <v>2</v>
      </c>
      <c r="Z13">
        <v>5</v>
      </c>
      <c r="AA13">
        <v>217</v>
      </c>
      <c r="AB13">
        <v>0</v>
      </c>
      <c r="AC13">
        <v>43</v>
      </c>
      <c r="AD13">
        <v>0</v>
      </c>
      <c r="AE13">
        <v>0</v>
      </c>
      <c r="AF13">
        <v>0</v>
      </c>
      <c r="AG13">
        <v>72</v>
      </c>
      <c r="AH13">
        <v>0</v>
      </c>
      <c r="AI13">
        <v>4</v>
      </c>
      <c r="AJ13">
        <v>0</v>
      </c>
      <c r="AK13">
        <v>4</v>
      </c>
      <c r="AL13">
        <v>0</v>
      </c>
      <c r="AM13">
        <v>0</v>
      </c>
      <c r="AN13">
        <v>0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-600</v>
      </c>
    </row>
    <row r="14" spans="1:6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-504</v>
      </c>
      <c r="N14">
        <v>504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>
        <v>18</v>
      </c>
      <c r="B15">
        <v>0</v>
      </c>
      <c r="C15">
        <v>24</v>
      </c>
      <c r="D15">
        <v>0</v>
      </c>
      <c r="E15">
        <v>31</v>
      </c>
      <c r="F15">
        <v>0</v>
      </c>
      <c r="G15">
        <v>9</v>
      </c>
      <c r="H15">
        <v>0</v>
      </c>
      <c r="I15">
        <v>2</v>
      </c>
      <c r="J15">
        <v>8</v>
      </c>
      <c r="K15">
        <v>51</v>
      </c>
      <c r="L15">
        <v>0</v>
      </c>
      <c r="M15">
        <v>6</v>
      </c>
      <c r="N15">
        <v>-638</v>
      </c>
      <c r="O15">
        <v>83</v>
      </c>
      <c r="P15">
        <v>0</v>
      </c>
      <c r="Q15">
        <v>1</v>
      </c>
      <c r="R15">
        <v>0</v>
      </c>
      <c r="S15">
        <v>3</v>
      </c>
      <c r="T15">
        <v>0</v>
      </c>
      <c r="U15">
        <v>73</v>
      </c>
      <c r="V15">
        <v>0</v>
      </c>
      <c r="W15">
        <v>6</v>
      </c>
      <c r="X15">
        <v>0</v>
      </c>
      <c r="Y15">
        <v>88</v>
      </c>
      <c r="Z15">
        <v>1</v>
      </c>
      <c r="AA15">
        <v>8</v>
      </c>
      <c r="AB15">
        <v>0</v>
      </c>
      <c r="AC15">
        <v>220</v>
      </c>
      <c r="AD15">
        <v>0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-410</v>
      </c>
    </row>
    <row r="16" spans="1:6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-672</v>
      </c>
      <c r="P16">
        <v>672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>
        <v>15</v>
      </c>
      <c r="B17">
        <v>0</v>
      </c>
      <c r="C17">
        <v>0</v>
      </c>
      <c r="D17">
        <v>0</v>
      </c>
      <c r="E17">
        <v>9</v>
      </c>
      <c r="F17">
        <v>0</v>
      </c>
      <c r="G17">
        <v>18</v>
      </c>
      <c r="H17">
        <v>0</v>
      </c>
      <c r="I17">
        <v>2</v>
      </c>
      <c r="J17">
        <v>0</v>
      </c>
      <c r="K17">
        <v>13</v>
      </c>
      <c r="L17">
        <v>0</v>
      </c>
      <c r="M17">
        <v>30</v>
      </c>
      <c r="N17">
        <v>5</v>
      </c>
      <c r="O17">
        <v>122</v>
      </c>
      <c r="P17">
        <v>-667</v>
      </c>
      <c r="Q17">
        <v>1</v>
      </c>
      <c r="R17">
        <v>0</v>
      </c>
      <c r="S17">
        <v>0</v>
      </c>
      <c r="T17">
        <v>0</v>
      </c>
      <c r="U17">
        <v>2</v>
      </c>
      <c r="V17">
        <v>0</v>
      </c>
      <c r="W17">
        <v>54</v>
      </c>
      <c r="X17">
        <v>0</v>
      </c>
      <c r="Y17">
        <v>2</v>
      </c>
      <c r="Z17">
        <v>0</v>
      </c>
      <c r="AA17">
        <v>59</v>
      </c>
      <c r="AB17">
        <v>0</v>
      </c>
      <c r="AC17">
        <v>30</v>
      </c>
      <c r="AD17">
        <v>0</v>
      </c>
      <c r="AE17">
        <v>233</v>
      </c>
      <c r="AF17">
        <v>0</v>
      </c>
      <c r="AG17">
        <v>1</v>
      </c>
      <c r="AH17">
        <v>0</v>
      </c>
      <c r="AI17">
        <v>2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41</v>
      </c>
      <c r="AP17">
        <v>0</v>
      </c>
      <c r="AQ17">
        <v>3</v>
      </c>
      <c r="AR17">
        <v>0</v>
      </c>
      <c r="AS17">
        <v>22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-543</v>
      </c>
    </row>
    <row r="18" spans="1:6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-32350</v>
      </c>
      <c r="R18">
        <v>32350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814</v>
      </c>
      <c r="R19">
        <v>-32689</v>
      </c>
      <c r="S19">
        <v>7889</v>
      </c>
      <c r="T19">
        <v>0</v>
      </c>
      <c r="U19">
        <v>1537</v>
      </c>
      <c r="V19">
        <v>0</v>
      </c>
      <c r="W19">
        <v>0</v>
      </c>
      <c r="X19">
        <v>0</v>
      </c>
      <c r="Y19">
        <v>152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22297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-814</v>
      </c>
    </row>
    <row r="20" spans="1:6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-13235</v>
      </c>
      <c r="T20">
        <v>13235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303</v>
      </c>
      <c r="R21">
        <v>0</v>
      </c>
      <c r="S21">
        <v>0</v>
      </c>
      <c r="T21">
        <v>-13237</v>
      </c>
      <c r="U21">
        <v>199</v>
      </c>
      <c r="V21">
        <v>1060</v>
      </c>
      <c r="W21">
        <v>2414</v>
      </c>
      <c r="X21">
        <v>0</v>
      </c>
      <c r="Y21">
        <v>70</v>
      </c>
      <c r="Z21">
        <v>75</v>
      </c>
      <c r="AA21">
        <v>552</v>
      </c>
      <c r="AB21">
        <v>0</v>
      </c>
      <c r="AC21">
        <v>361</v>
      </c>
      <c r="AD21">
        <v>0</v>
      </c>
      <c r="AE21">
        <v>0</v>
      </c>
      <c r="AF21">
        <v>0</v>
      </c>
      <c r="AG21">
        <v>9</v>
      </c>
      <c r="AH21">
        <v>370</v>
      </c>
      <c r="AI21">
        <v>5240</v>
      </c>
      <c r="AJ21">
        <v>0</v>
      </c>
      <c r="AK21">
        <v>1057</v>
      </c>
      <c r="AL21">
        <v>0</v>
      </c>
      <c r="AM21">
        <v>0</v>
      </c>
      <c r="AN21">
        <v>0</v>
      </c>
      <c r="AO21">
        <v>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1495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-884</v>
      </c>
    </row>
    <row r="22" spans="1:6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-5027</v>
      </c>
      <c r="V22">
        <v>5027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94</v>
      </c>
      <c r="R23">
        <v>4</v>
      </c>
      <c r="S23">
        <v>327</v>
      </c>
      <c r="T23">
        <v>0</v>
      </c>
      <c r="U23">
        <v>305</v>
      </c>
      <c r="V23">
        <v>-6127</v>
      </c>
      <c r="W23">
        <v>876</v>
      </c>
      <c r="X23">
        <v>0</v>
      </c>
      <c r="Y23">
        <v>34</v>
      </c>
      <c r="Z23">
        <v>246</v>
      </c>
      <c r="AA23">
        <v>427</v>
      </c>
      <c r="AB23">
        <v>0</v>
      </c>
      <c r="AC23">
        <v>21</v>
      </c>
      <c r="AD23">
        <v>0</v>
      </c>
      <c r="AE23">
        <v>0</v>
      </c>
      <c r="AF23">
        <v>0</v>
      </c>
      <c r="AG23">
        <v>21</v>
      </c>
      <c r="AH23">
        <v>39</v>
      </c>
      <c r="AI23">
        <v>63</v>
      </c>
      <c r="AJ23">
        <v>0</v>
      </c>
      <c r="AK23">
        <v>2516</v>
      </c>
      <c r="AL23">
        <v>0</v>
      </c>
      <c r="AM23">
        <v>0</v>
      </c>
      <c r="AN23">
        <v>0</v>
      </c>
      <c r="AO23">
        <v>1116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-879</v>
      </c>
    </row>
    <row r="24" spans="1:6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-4820</v>
      </c>
      <c r="X24">
        <v>4820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117</v>
      </c>
      <c r="R25">
        <v>0</v>
      </c>
      <c r="S25">
        <v>1</v>
      </c>
      <c r="T25">
        <v>0</v>
      </c>
      <c r="U25">
        <v>73</v>
      </c>
      <c r="V25">
        <v>3</v>
      </c>
      <c r="W25">
        <v>245</v>
      </c>
      <c r="X25">
        <v>-4792</v>
      </c>
      <c r="Y25">
        <v>30</v>
      </c>
      <c r="Z25">
        <v>4</v>
      </c>
      <c r="AA25">
        <v>155</v>
      </c>
      <c r="AB25">
        <v>55</v>
      </c>
      <c r="AC25">
        <v>150</v>
      </c>
      <c r="AD25">
        <v>149</v>
      </c>
      <c r="AE25">
        <v>673</v>
      </c>
      <c r="AF25">
        <v>0</v>
      </c>
      <c r="AG25">
        <v>2</v>
      </c>
      <c r="AH25">
        <v>0</v>
      </c>
      <c r="AI25">
        <v>17</v>
      </c>
      <c r="AJ25">
        <v>25</v>
      </c>
      <c r="AK25">
        <v>19</v>
      </c>
      <c r="AL25">
        <v>18</v>
      </c>
      <c r="AM25">
        <v>1646</v>
      </c>
      <c r="AN25">
        <v>0</v>
      </c>
      <c r="AO25">
        <v>9</v>
      </c>
      <c r="AP25">
        <v>6</v>
      </c>
      <c r="AQ25">
        <v>470</v>
      </c>
      <c r="AR25">
        <v>0</v>
      </c>
      <c r="AS25">
        <v>339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103</v>
      </c>
      <c r="AZ25">
        <v>0</v>
      </c>
      <c r="BA25">
        <v>482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-1166</v>
      </c>
    </row>
    <row r="26" spans="1:6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-1616</v>
      </c>
      <c r="Z26">
        <v>1616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25</v>
      </c>
      <c r="S27">
        <v>337</v>
      </c>
      <c r="T27">
        <v>0</v>
      </c>
      <c r="U27">
        <v>88</v>
      </c>
      <c r="V27">
        <v>0</v>
      </c>
      <c r="W27">
        <v>0</v>
      </c>
      <c r="X27">
        <v>0</v>
      </c>
      <c r="Y27">
        <v>15</v>
      </c>
      <c r="Z27">
        <v>-1970</v>
      </c>
      <c r="AA27">
        <v>273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414</v>
      </c>
      <c r="AH27">
        <v>13</v>
      </c>
      <c r="AI27">
        <v>54</v>
      </c>
      <c r="AJ27">
        <v>0</v>
      </c>
      <c r="AK27">
        <v>17</v>
      </c>
      <c r="AL27">
        <v>0</v>
      </c>
      <c r="AM27">
        <v>0</v>
      </c>
      <c r="AN27">
        <v>0</v>
      </c>
      <c r="AO27">
        <v>653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31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-979</v>
      </c>
    </row>
    <row r="28" spans="1:6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-2193</v>
      </c>
      <c r="AB28">
        <v>2193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51</v>
      </c>
      <c r="R29">
        <v>1</v>
      </c>
      <c r="S29">
        <v>0</v>
      </c>
      <c r="T29">
        <v>0</v>
      </c>
      <c r="U29">
        <v>37</v>
      </c>
      <c r="V29">
        <v>34</v>
      </c>
      <c r="W29">
        <v>298</v>
      </c>
      <c r="X29">
        <v>0</v>
      </c>
      <c r="Y29">
        <v>12</v>
      </c>
      <c r="Z29">
        <v>7</v>
      </c>
      <c r="AA29">
        <v>76</v>
      </c>
      <c r="AB29">
        <v>-2241</v>
      </c>
      <c r="AC29">
        <v>89</v>
      </c>
      <c r="AD29">
        <v>110</v>
      </c>
      <c r="AE29">
        <v>159</v>
      </c>
      <c r="AF29">
        <v>0</v>
      </c>
      <c r="AG29">
        <v>1</v>
      </c>
      <c r="AH29">
        <v>1</v>
      </c>
      <c r="AI29">
        <v>388</v>
      </c>
      <c r="AJ29">
        <v>2</v>
      </c>
      <c r="AK29">
        <v>129</v>
      </c>
      <c r="AL29">
        <v>5</v>
      </c>
      <c r="AM29">
        <v>47</v>
      </c>
      <c r="AN29">
        <v>0</v>
      </c>
      <c r="AO29">
        <v>2</v>
      </c>
      <c r="AP29">
        <v>19</v>
      </c>
      <c r="AQ29">
        <v>456</v>
      </c>
      <c r="AR29">
        <v>0</v>
      </c>
      <c r="AS29">
        <v>50</v>
      </c>
      <c r="AT29">
        <v>0</v>
      </c>
      <c r="AU29">
        <v>0</v>
      </c>
      <c r="AV29">
        <v>0</v>
      </c>
      <c r="AW29">
        <v>11</v>
      </c>
      <c r="AX29">
        <v>1</v>
      </c>
      <c r="AY29">
        <v>24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231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-1290</v>
      </c>
    </row>
    <row r="30" spans="1:6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-1323</v>
      </c>
      <c r="AD30">
        <v>1323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28</v>
      </c>
      <c r="R31">
        <v>0</v>
      </c>
      <c r="S31">
        <v>84</v>
      </c>
      <c r="T31">
        <v>0</v>
      </c>
      <c r="U31">
        <v>64</v>
      </c>
      <c r="V31">
        <v>0</v>
      </c>
      <c r="W31">
        <v>10</v>
      </c>
      <c r="X31">
        <v>0</v>
      </c>
      <c r="Y31">
        <v>14</v>
      </c>
      <c r="Z31">
        <v>16</v>
      </c>
      <c r="AA31">
        <v>138</v>
      </c>
      <c r="AB31">
        <v>0</v>
      </c>
      <c r="AC31">
        <v>10</v>
      </c>
      <c r="AD31">
        <v>-1593</v>
      </c>
      <c r="AE31">
        <v>358</v>
      </c>
      <c r="AF31">
        <v>0</v>
      </c>
      <c r="AG31">
        <v>5</v>
      </c>
      <c r="AH31">
        <v>0</v>
      </c>
      <c r="AI31">
        <v>6</v>
      </c>
      <c r="AJ31">
        <v>0</v>
      </c>
      <c r="AK31">
        <v>123</v>
      </c>
      <c r="AL31">
        <v>2</v>
      </c>
      <c r="AM31">
        <v>21</v>
      </c>
      <c r="AN31">
        <v>0</v>
      </c>
      <c r="AO31">
        <v>198</v>
      </c>
      <c r="AP31">
        <v>3</v>
      </c>
      <c r="AQ31">
        <v>33</v>
      </c>
      <c r="AR31">
        <v>0</v>
      </c>
      <c r="AS31">
        <v>453</v>
      </c>
      <c r="AT31">
        <v>0</v>
      </c>
      <c r="AU31">
        <v>0</v>
      </c>
      <c r="AV31">
        <v>0</v>
      </c>
      <c r="AW31">
        <v>5</v>
      </c>
      <c r="AX31">
        <v>0</v>
      </c>
      <c r="AY31">
        <v>0</v>
      </c>
      <c r="AZ31">
        <v>0</v>
      </c>
      <c r="BA31">
        <v>17</v>
      </c>
      <c r="BB31">
        <v>0</v>
      </c>
      <c r="BC31">
        <v>0</v>
      </c>
      <c r="BD31">
        <v>0</v>
      </c>
      <c r="BE31">
        <v>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-924</v>
      </c>
    </row>
    <row r="32" spans="1:6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-1710</v>
      </c>
      <c r="AF32">
        <v>1710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43</v>
      </c>
      <c r="R33">
        <v>0</v>
      </c>
      <c r="S33">
        <v>0</v>
      </c>
      <c r="T33">
        <v>0</v>
      </c>
      <c r="U33">
        <v>29</v>
      </c>
      <c r="V33">
        <v>0</v>
      </c>
      <c r="W33">
        <v>76</v>
      </c>
      <c r="X33">
        <v>0</v>
      </c>
      <c r="Y33">
        <v>12</v>
      </c>
      <c r="Z33">
        <v>0</v>
      </c>
      <c r="AA33">
        <v>52</v>
      </c>
      <c r="AB33">
        <v>0</v>
      </c>
      <c r="AC33">
        <v>60</v>
      </c>
      <c r="AD33">
        <v>15</v>
      </c>
      <c r="AE33">
        <v>287</v>
      </c>
      <c r="AF33">
        <v>-1693</v>
      </c>
      <c r="AG33">
        <v>0</v>
      </c>
      <c r="AH33">
        <v>0</v>
      </c>
      <c r="AI33">
        <v>2</v>
      </c>
      <c r="AJ33">
        <v>0</v>
      </c>
      <c r="AK33">
        <v>5</v>
      </c>
      <c r="AL33">
        <v>0</v>
      </c>
      <c r="AM33">
        <v>128</v>
      </c>
      <c r="AN33">
        <v>0</v>
      </c>
      <c r="AO33">
        <v>4</v>
      </c>
      <c r="AP33">
        <v>0</v>
      </c>
      <c r="AQ33">
        <v>133</v>
      </c>
      <c r="AR33">
        <v>0</v>
      </c>
      <c r="AS33">
        <v>75</v>
      </c>
      <c r="AT33">
        <v>1</v>
      </c>
      <c r="AU33">
        <v>530</v>
      </c>
      <c r="AV33">
        <v>0</v>
      </c>
      <c r="AW33">
        <v>0</v>
      </c>
      <c r="AX33">
        <v>0</v>
      </c>
      <c r="AY33">
        <v>3</v>
      </c>
      <c r="AZ33">
        <v>0</v>
      </c>
      <c r="BA33">
        <v>1</v>
      </c>
      <c r="BB33">
        <v>0</v>
      </c>
      <c r="BC33">
        <v>53</v>
      </c>
      <c r="BD33">
        <v>0</v>
      </c>
      <c r="BE33">
        <v>0</v>
      </c>
      <c r="BF33">
        <v>0</v>
      </c>
      <c r="BG33">
        <v>24</v>
      </c>
      <c r="BH33">
        <v>0</v>
      </c>
      <c r="BI33">
        <v>160</v>
      </c>
      <c r="BJ33">
        <v>0</v>
      </c>
      <c r="BK33">
        <v>0</v>
      </c>
      <c r="BL33">
        <v>0</v>
      </c>
      <c r="BM33">
        <v>-1335</v>
      </c>
    </row>
    <row r="34" spans="1:6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-25368</v>
      </c>
      <c r="AH34">
        <v>25368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632</v>
      </c>
      <c r="AH35">
        <v>-25814</v>
      </c>
      <c r="AI35">
        <v>6236</v>
      </c>
      <c r="AJ35">
        <v>0</v>
      </c>
      <c r="AK35">
        <v>1225</v>
      </c>
      <c r="AL35">
        <v>0</v>
      </c>
      <c r="AM35">
        <v>0</v>
      </c>
      <c r="AN35">
        <v>0</v>
      </c>
      <c r="AO35">
        <v>129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17592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-632</v>
      </c>
    </row>
    <row r="36" spans="1:6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-13163</v>
      </c>
      <c r="AJ36">
        <v>13163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289</v>
      </c>
      <c r="AH37">
        <v>1</v>
      </c>
      <c r="AI37">
        <v>6</v>
      </c>
      <c r="AJ37">
        <v>-13172</v>
      </c>
      <c r="AK37">
        <v>275</v>
      </c>
      <c r="AL37">
        <v>1346</v>
      </c>
      <c r="AM37">
        <v>2141</v>
      </c>
      <c r="AN37">
        <v>0</v>
      </c>
      <c r="AO37">
        <v>83</v>
      </c>
      <c r="AP37">
        <v>62</v>
      </c>
      <c r="AQ37">
        <v>572</v>
      </c>
      <c r="AR37">
        <v>0</v>
      </c>
      <c r="AS37">
        <v>237</v>
      </c>
      <c r="AT37">
        <v>0</v>
      </c>
      <c r="AU37">
        <v>0</v>
      </c>
      <c r="AV37">
        <v>0</v>
      </c>
      <c r="AW37">
        <v>10</v>
      </c>
      <c r="AX37">
        <v>407</v>
      </c>
      <c r="AY37">
        <v>7712</v>
      </c>
      <c r="AZ37">
        <v>0</v>
      </c>
      <c r="BA37">
        <v>22</v>
      </c>
      <c r="BB37">
        <v>0</v>
      </c>
      <c r="BC37">
        <v>0</v>
      </c>
      <c r="BD37">
        <v>0</v>
      </c>
      <c r="BE37">
        <v>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-953</v>
      </c>
    </row>
    <row r="38" spans="1:6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-6222</v>
      </c>
      <c r="AL38">
        <v>6222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145</v>
      </c>
      <c r="AH39">
        <v>5</v>
      </c>
      <c r="AI39">
        <v>607</v>
      </c>
      <c r="AJ39">
        <v>0</v>
      </c>
      <c r="AK39">
        <v>403</v>
      </c>
      <c r="AL39">
        <v>-7643</v>
      </c>
      <c r="AM39">
        <v>1193</v>
      </c>
      <c r="AN39">
        <v>0</v>
      </c>
      <c r="AO39">
        <v>45</v>
      </c>
      <c r="AP39">
        <v>268</v>
      </c>
      <c r="AQ39">
        <v>249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37</v>
      </c>
      <c r="AX39">
        <v>30</v>
      </c>
      <c r="AY39">
        <v>51</v>
      </c>
      <c r="AZ39">
        <v>0</v>
      </c>
      <c r="BA39">
        <v>4606</v>
      </c>
      <c r="BB39">
        <v>0</v>
      </c>
      <c r="BC39">
        <v>0</v>
      </c>
      <c r="BD39">
        <v>0</v>
      </c>
      <c r="BE39">
        <v>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-1387</v>
      </c>
    </row>
    <row r="40" spans="1:6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-5821</v>
      </c>
      <c r="AN40">
        <v>5821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128</v>
      </c>
      <c r="AH41">
        <v>0</v>
      </c>
      <c r="AI41">
        <v>6</v>
      </c>
      <c r="AJ41">
        <v>0</v>
      </c>
      <c r="AK41">
        <v>131</v>
      </c>
      <c r="AL41">
        <v>4</v>
      </c>
      <c r="AM41">
        <v>273</v>
      </c>
      <c r="AN41">
        <v>-5801</v>
      </c>
      <c r="AO41">
        <v>43</v>
      </c>
      <c r="AP41">
        <v>1</v>
      </c>
      <c r="AQ41">
        <v>243</v>
      </c>
      <c r="AR41">
        <v>45</v>
      </c>
      <c r="AS41">
        <v>143</v>
      </c>
      <c r="AT41">
        <v>182</v>
      </c>
      <c r="AU41">
        <v>625</v>
      </c>
      <c r="AV41">
        <v>0</v>
      </c>
      <c r="AW41">
        <v>4</v>
      </c>
      <c r="AX41">
        <v>0</v>
      </c>
      <c r="AY41">
        <v>28</v>
      </c>
      <c r="AZ41">
        <v>16</v>
      </c>
      <c r="BA41">
        <v>9</v>
      </c>
      <c r="BB41">
        <v>5</v>
      </c>
      <c r="BC41">
        <v>3908</v>
      </c>
      <c r="BD41">
        <v>0</v>
      </c>
      <c r="BE41">
        <v>1</v>
      </c>
      <c r="BF41">
        <v>1</v>
      </c>
      <c r="BG41">
        <v>4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-1454</v>
      </c>
    </row>
    <row r="42" spans="1:6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-2612</v>
      </c>
      <c r="AP42">
        <v>2612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54</v>
      </c>
      <c r="AH43">
        <v>43</v>
      </c>
      <c r="AI43">
        <v>371</v>
      </c>
      <c r="AJ43">
        <v>0</v>
      </c>
      <c r="AK43">
        <v>119</v>
      </c>
      <c r="AL43">
        <v>0</v>
      </c>
      <c r="AM43">
        <v>0</v>
      </c>
      <c r="AN43">
        <v>0</v>
      </c>
      <c r="AO43">
        <v>11</v>
      </c>
      <c r="AP43">
        <v>-3005</v>
      </c>
      <c r="AQ43">
        <v>468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</v>
      </c>
      <c r="AX43">
        <v>5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1927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-658</v>
      </c>
    </row>
    <row r="44" spans="1:65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-2873</v>
      </c>
      <c r="AR44">
        <v>2873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</v>
      </c>
      <c r="AH45">
        <v>0</v>
      </c>
      <c r="AI45">
        <v>0</v>
      </c>
      <c r="AJ45">
        <v>2</v>
      </c>
      <c r="AK45">
        <v>64</v>
      </c>
      <c r="AL45">
        <v>55</v>
      </c>
      <c r="AM45">
        <v>278</v>
      </c>
      <c r="AN45">
        <v>0</v>
      </c>
      <c r="AO45">
        <v>18</v>
      </c>
      <c r="AP45">
        <v>7</v>
      </c>
      <c r="AQ45">
        <v>106</v>
      </c>
      <c r="AR45">
        <v>-2910</v>
      </c>
      <c r="AS45">
        <v>61</v>
      </c>
      <c r="AT45">
        <v>233</v>
      </c>
      <c r="AU45">
        <v>274</v>
      </c>
      <c r="AV45">
        <v>0</v>
      </c>
      <c r="AW45">
        <v>3</v>
      </c>
      <c r="AX45">
        <v>2</v>
      </c>
      <c r="AY45">
        <v>0</v>
      </c>
      <c r="AZ45">
        <v>14</v>
      </c>
      <c r="BA45">
        <v>6</v>
      </c>
      <c r="BB45">
        <v>3</v>
      </c>
      <c r="BC45">
        <v>1</v>
      </c>
      <c r="BD45">
        <v>0</v>
      </c>
      <c r="BE45">
        <v>2</v>
      </c>
      <c r="BF45">
        <v>11</v>
      </c>
      <c r="BG45">
        <v>1709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-872</v>
      </c>
    </row>
    <row r="46" spans="1:65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-1454</v>
      </c>
      <c r="AT46">
        <v>1454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33</v>
      </c>
      <c r="AH47">
        <v>0</v>
      </c>
      <c r="AI47">
        <v>144</v>
      </c>
      <c r="AJ47">
        <v>0</v>
      </c>
      <c r="AK47">
        <v>75</v>
      </c>
      <c r="AL47">
        <v>0</v>
      </c>
      <c r="AM47">
        <v>0</v>
      </c>
      <c r="AN47">
        <v>0</v>
      </c>
      <c r="AO47">
        <v>7</v>
      </c>
      <c r="AP47">
        <v>27</v>
      </c>
      <c r="AQ47">
        <v>58</v>
      </c>
      <c r="AR47">
        <v>0</v>
      </c>
      <c r="AS47">
        <v>0</v>
      </c>
      <c r="AT47">
        <v>-1902</v>
      </c>
      <c r="AU47">
        <v>382</v>
      </c>
      <c r="AV47">
        <v>0</v>
      </c>
      <c r="AW47">
        <v>6</v>
      </c>
      <c r="AX47">
        <v>0</v>
      </c>
      <c r="AY47">
        <v>7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1160</v>
      </c>
      <c r="BJ47">
        <v>0</v>
      </c>
      <c r="BK47">
        <v>0</v>
      </c>
      <c r="BL47">
        <v>0</v>
      </c>
      <c r="BM47">
        <v>-655</v>
      </c>
    </row>
    <row r="48" spans="1:6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-2064</v>
      </c>
      <c r="AV48">
        <v>2064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41</v>
      </c>
      <c r="AH49">
        <v>0</v>
      </c>
      <c r="AI49">
        <v>0</v>
      </c>
      <c r="AJ49">
        <v>0</v>
      </c>
      <c r="AK49">
        <v>39</v>
      </c>
      <c r="AL49">
        <v>0</v>
      </c>
      <c r="AM49">
        <v>94</v>
      </c>
      <c r="AN49">
        <v>2</v>
      </c>
      <c r="AO49">
        <v>14</v>
      </c>
      <c r="AP49">
        <v>1</v>
      </c>
      <c r="AQ49">
        <v>82</v>
      </c>
      <c r="AR49">
        <v>0</v>
      </c>
      <c r="AS49">
        <v>72</v>
      </c>
      <c r="AT49">
        <v>34</v>
      </c>
      <c r="AU49">
        <v>253</v>
      </c>
      <c r="AV49">
        <v>-2047</v>
      </c>
      <c r="AW49">
        <v>4</v>
      </c>
      <c r="AX49">
        <v>0</v>
      </c>
      <c r="AY49">
        <v>11</v>
      </c>
      <c r="AZ49">
        <v>0</v>
      </c>
      <c r="BA49">
        <v>1</v>
      </c>
      <c r="BB49">
        <v>0</v>
      </c>
      <c r="BC49">
        <v>10</v>
      </c>
      <c r="BD49">
        <v>5</v>
      </c>
      <c r="BE49">
        <v>0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1382</v>
      </c>
      <c r="BL49">
        <v>0</v>
      </c>
      <c r="BM49">
        <v>-1158</v>
      </c>
    </row>
    <row r="50" spans="1:65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-19246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-445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-7940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-30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-5144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-9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-3972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-5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-2178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-12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-1741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-1321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</row>
    <row r="64" spans="1:65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-1382</v>
      </c>
      <c r="BL64">
        <v>0</v>
      </c>
      <c r="BM64">
        <v>0</v>
      </c>
    </row>
    <row r="65" spans="1:6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</row>
    <row r="67" spans="1:65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0.48</v>
      </c>
    </row>
    <row r="68" spans="1:65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0.48</v>
      </c>
    </row>
    <row r="69" spans="1:65" x14ac:dyDescent="0.25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0.85199999999999998</v>
      </c>
    </row>
    <row r="70" spans="1:65" x14ac:dyDescent="0.25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0.85199999999999998</v>
      </c>
    </row>
    <row r="71" spans="1:65" x14ac:dyDescent="0.2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1.1000000000000001</v>
      </c>
    </row>
    <row r="72" spans="1:65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1.1000000000000001</v>
      </c>
    </row>
    <row r="73" spans="1:65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1.462</v>
      </c>
    </row>
    <row r="74" spans="1:65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1.462</v>
      </c>
    </row>
    <row r="75" spans="1:65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1.3779999999999999</v>
      </c>
    </row>
    <row r="76" spans="1:6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1.3779999999999999</v>
      </c>
    </row>
    <row r="77" spans="1:65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1.7529999999999999</v>
      </c>
    </row>
    <row r="78" spans="1:6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1.7529999999999999</v>
      </c>
    </row>
    <row r="79" spans="1:65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1.9379999999999999</v>
      </c>
    </row>
    <row r="80" spans="1:6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1.9379999999999999</v>
      </c>
    </row>
    <row r="81" spans="1:65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2.2549999999999999</v>
      </c>
    </row>
    <row r="82" spans="1:6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2.2549999999999999</v>
      </c>
    </row>
    <row r="83" spans="1:6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0.255</v>
      </c>
    </row>
    <row r="84" spans="1:6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0.255</v>
      </c>
    </row>
    <row r="85" spans="1:6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0.51</v>
      </c>
    </row>
    <row r="86" spans="1:6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0.51</v>
      </c>
    </row>
    <row r="87" spans="1:6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0.66</v>
      </c>
    </row>
    <row r="88" spans="1:6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0.66</v>
      </c>
    </row>
    <row r="89" spans="1:6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0.90100000000000002</v>
      </c>
    </row>
    <row r="90" spans="1:65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0.90100000000000002</v>
      </c>
    </row>
    <row r="91" spans="1:6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0.93600000000000005</v>
      </c>
    </row>
    <row r="92" spans="1:6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0.93600000000000005</v>
      </c>
    </row>
    <row r="93" spans="1:65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1.1819999999999999</v>
      </c>
    </row>
    <row r="94" spans="1:6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1.1819999999999999</v>
      </c>
    </row>
    <row r="95" spans="1:65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1.357</v>
      </c>
    </row>
    <row r="96" spans="1:65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1.357</v>
      </c>
    </row>
    <row r="97" spans="1:65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1.538</v>
      </c>
    </row>
    <row r="98" spans="1:65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1.538</v>
      </c>
    </row>
    <row r="99" spans="1:65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9.6000000000000002E-2</v>
      </c>
    </row>
    <row r="100" spans="1:65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9.6000000000000002E-2</v>
      </c>
    </row>
    <row r="101" spans="1:65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0.216</v>
      </c>
    </row>
    <row r="102" spans="1:65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0.216</v>
      </c>
    </row>
    <row r="103" spans="1:65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0.312</v>
      </c>
    </row>
    <row r="104" spans="1:65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0.312</v>
      </c>
    </row>
    <row r="105" spans="1:65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0.41699999999999998</v>
      </c>
    </row>
    <row r="106" spans="1:65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0.41699999999999998</v>
      </c>
    </row>
    <row r="107" spans="1:65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0.34</v>
      </c>
    </row>
    <row r="108" spans="1:65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0.34</v>
      </c>
    </row>
    <row r="109" spans="1:65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0.5</v>
      </c>
    </row>
    <row r="110" spans="1:65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0.5</v>
      </c>
    </row>
    <row r="111" spans="1:65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0.54400000000000004</v>
      </c>
    </row>
    <row r="112" spans="1:65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0.54400000000000004</v>
      </c>
    </row>
    <row r="113" spans="1:65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0.73499999999999999</v>
      </c>
    </row>
    <row r="114" spans="1:65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0.73499999999999999</v>
      </c>
    </row>
    <row r="115" spans="1:65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</row>
    <row r="123" spans="1:65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</row>
    <row r="128" spans="1:65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</row>
    <row r="129" spans="1:65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</row>
    <row r="130" spans="1:65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</row>
    <row r="132" spans="1:65" x14ac:dyDescent="0.25">
      <c r="A132">
        <v>-45331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-1227</v>
      </c>
    </row>
    <row r="133" spans="1:65" x14ac:dyDescent="0.25">
      <c r="A133">
        <v>1</v>
      </c>
      <c r="B133">
        <v>-11139</v>
      </c>
      <c r="C133">
        <v>793</v>
      </c>
      <c r="D133">
        <v>0</v>
      </c>
      <c r="E133">
        <v>47</v>
      </c>
      <c r="F133">
        <v>0</v>
      </c>
      <c r="G133">
        <v>0</v>
      </c>
      <c r="H133">
        <v>0</v>
      </c>
      <c r="I133">
        <v>313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-727</v>
      </c>
    </row>
    <row r="134" spans="1:65" x14ac:dyDescent="0.25">
      <c r="A134">
        <v>0</v>
      </c>
      <c r="B134">
        <v>0</v>
      </c>
      <c r="C134">
        <v>-3501</v>
      </c>
      <c r="D134">
        <v>0</v>
      </c>
      <c r="E134">
        <v>84</v>
      </c>
      <c r="F134">
        <v>0</v>
      </c>
      <c r="G134">
        <v>0</v>
      </c>
      <c r="H134">
        <v>0</v>
      </c>
      <c r="I134">
        <v>19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-480</v>
      </c>
    </row>
    <row r="135" spans="1:65" x14ac:dyDescent="0.25">
      <c r="A135">
        <v>0</v>
      </c>
      <c r="B135">
        <v>0</v>
      </c>
      <c r="C135">
        <v>0</v>
      </c>
      <c r="D135">
        <v>-2487</v>
      </c>
      <c r="E135">
        <v>2</v>
      </c>
      <c r="F135">
        <v>9</v>
      </c>
      <c r="G135">
        <v>82</v>
      </c>
      <c r="H135">
        <v>0</v>
      </c>
      <c r="I135">
        <v>1</v>
      </c>
      <c r="J135">
        <v>12</v>
      </c>
      <c r="K135">
        <v>7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-510</v>
      </c>
    </row>
    <row r="136" spans="1:65" x14ac:dyDescent="0.25">
      <c r="A136">
        <v>3</v>
      </c>
      <c r="B136">
        <v>0</v>
      </c>
      <c r="C136">
        <v>0</v>
      </c>
      <c r="D136">
        <v>0</v>
      </c>
      <c r="E136">
        <v>-485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-271</v>
      </c>
    </row>
    <row r="137" spans="1:65" x14ac:dyDescent="0.25">
      <c r="A137">
        <v>0</v>
      </c>
      <c r="B137">
        <v>1</v>
      </c>
      <c r="C137">
        <v>7</v>
      </c>
      <c r="D137">
        <v>0</v>
      </c>
      <c r="E137">
        <v>2</v>
      </c>
      <c r="F137">
        <v>-941</v>
      </c>
      <c r="G137">
        <v>48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-600</v>
      </c>
    </row>
    <row r="138" spans="1:65" x14ac:dyDescent="0.25">
      <c r="A138">
        <v>0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-638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-410</v>
      </c>
    </row>
    <row r="139" spans="1:65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5</v>
      </c>
      <c r="H139">
        <v>-667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-543</v>
      </c>
    </row>
    <row r="140" spans="1:65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-32689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-814</v>
      </c>
    </row>
    <row r="141" spans="1:65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-13237</v>
      </c>
      <c r="K141">
        <v>1060</v>
      </c>
      <c r="L141">
        <v>0</v>
      </c>
      <c r="M141">
        <v>75</v>
      </c>
      <c r="N141">
        <v>0</v>
      </c>
      <c r="O141">
        <v>0</v>
      </c>
      <c r="P141">
        <v>0</v>
      </c>
      <c r="Q141">
        <v>370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-884</v>
      </c>
    </row>
    <row r="142" spans="1:65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0</v>
      </c>
      <c r="K142">
        <v>-6127</v>
      </c>
      <c r="L142">
        <v>0</v>
      </c>
      <c r="M142">
        <v>246</v>
      </c>
      <c r="N142">
        <v>0</v>
      </c>
      <c r="O142">
        <v>0</v>
      </c>
      <c r="P142">
        <v>0</v>
      </c>
      <c r="Q142">
        <v>39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-879</v>
      </c>
    </row>
    <row r="143" spans="1:65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-4792</v>
      </c>
      <c r="M143">
        <v>4</v>
      </c>
      <c r="N143">
        <v>55</v>
      </c>
      <c r="O143">
        <v>149</v>
      </c>
      <c r="P143">
        <v>0</v>
      </c>
      <c r="Q143">
        <v>0</v>
      </c>
      <c r="R143">
        <v>25</v>
      </c>
      <c r="S143">
        <v>18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-1166</v>
      </c>
    </row>
    <row r="144" spans="1:65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25</v>
      </c>
      <c r="J144">
        <v>0</v>
      </c>
      <c r="K144">
        <v>0</v>
      </c>
      <c r="L144">
        <v>0</v>
      </c>
      <c r="M144">
        <v>-1970</v>
      </c>
      <c r="N144">
        <v>0</v>
      </c>
      <c r="O144">
        <v>0</v>
      </c>
      <c r="P144">
        <v>0</v>
      </c>
      <c r="Q144">
        <v>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-979</v>
      </c>
    </row>
    <row r="145" spans="1:25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34</v>
      </c>
      <c r="L145">
        <v>0</v>
      </c>
      <c r="M145">
        <v>7</v>
      </c>
      <c r="N145">
        <v>-2241</v>
      </c>
      <c r="O145">
        <v>110</v>
      </c>
      <c r="P145">
        <v>0</v>
      </c>
      <c r="Q145">
        <v>1</v>
      </c>
      <c r="R145">
        <v>2</v>
      </c>
      <c r="S145">
        <v>5</v>
      </c>
      <c r="T145">
        <v>0</v>
      </c>
      <c r="U145">
        <v>19</v>
      </c>
      <c r="V145">
        <v>0</v>
      </c>
      <c r="W145">
        <v>0</v>
      </c>
      <c r="X145">
        <v>0</v>
      </c>
      <c r="Y145">
        <v>-1290</v>
      </c>
    </row>
    <row r="146" spans="1:25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16</v>
      </c>
      <c r="N146">
        <v>0</v>
      </c>
      <c r="O146">
        <v>-1593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-924</v>
      </c>
    </row>
    <row r="147" spans="1:25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-1693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-1335</v>
      </c>
    </row>
    <row r="148" spans="1:25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-25814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-632</v>
      </c>
    </row>
    <row r="149" spans="1:25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-13172</v>
      </c>
      <c r="S149">
        <v>1346</v>
      </c>
      <c r="T149">
        <v>0</v>
      </c>
      <c r="U149">
        <v>62</v>
      </c>
      <c r="V149">
        <v>0</v>
      </c>
      <c r="W149">
        <v>0</v>
      </c>
      <c r="X149">
        <v>0</v>
      </c>
      <c r="Y149">
        <v>-953</v>
      </c>
    </row>
    <row r="150" spans="1:25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-7643</v>
      </c>
      <c r="T150">
        <v>0</v>
      </c>
      <c r="U150">
        <v>268</v>
      </c>
      <c r="V150">
        <v>0</v>
      </c>
      <c r="W150">
        <v>0</v>
      </c>
      <c r="X150">
        <v>0</v>
      </c>
      <c r="Y150">
        <v>-1387</v>
      </c>
    </row>
    <row r="151" spans="1:25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-5801</v>
      </c>
      <c r="U151">
        <v>1</v>
      </c>
      <c r="V151">
        <v>45</v>
      </c>
      <c r="W151">
        <v>182</v>
      </c>
      <c r="X151">
        <v>0</v>
      </c>
      <c r="Y151">
        <v>-1454</v>
      </c>
    </row>
    <row r="152" spans="1:25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43</v>
      </c>
      <c r="R152">
        <v>0</v>
      </c>
      <c r="S152">
        <v>0</v>
      </c>
      <c r="T152">
        <v>0</v>
      </c>
      <c r="U152">
        <v>-3005</v>
      </c>
      <c r="V152">
        <v>0</v>
      </c>
      <c r="W152">
        <v>0</v>
      </c>
      <c r="X152">
        <v>0</v>
      </c>
      <c r="Y152">
        <v>-658</v>
      </c>
    </row>
    <row r="153" spans="1:25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55</v>
      </c>
      <c r="T153">
        <v>0</v>
      </c>
      <c r="U153">
        <v>7</v>
      </c>
      <c r="V153">
        <v>-2910</v>
      </c>
      <c r="W153">
        <v>233</v>
      </c>
      <c r="X153">
        <v>0</v>
      </c>
      <c r="Y153">
        <v>-872</v>
      </c>
    </row>
    <row r="154" spans="1:25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27</v>
      </c>
      <c r="V154">
        <v>0</v>
      </c>
      <c r="W154">
        <v>-1902</v>
      </c>
      <c r="X154">
        <v>0</v>
      </c>
      <c r="Y154">
        <v>-655</v>
      </c>
    </row>
    <row r="155" spans="1:25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</v>
      </c>
      <c r="V155">
        <v>0</v>
      </c>
      <c r="W155">
        <v>34</v>
      </c>
      <c r="X155">
        <v>-2047</v>
      </c>
      <c r="Y155">
        <v>-1158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8"/>
  <sheetViews>
    <sheetView tabSelected="1" topLeftCell="G123" workbookViewId="0">
      <selection activeCell="I135" sqref="I135"/>
    </sheetView>
  </sheetViews>
  <sheetFormatPr defaultRowHeight="15" x14ac:dyDescent="0.25"/>
  <cols>
    <col min="1" max="1" width="11.28515625" customWidth="1"/>
    <col min="2" max="9" width="7.7109375" customWidth="1"/>
    <col min="10" max="10" width="9.7109375" bestFit="1" customWidth="1"/>
    <col min="11" max="65" width="7.7109375" customWidth="1"/>
  </cols>
  <sheetData>
    <row r="1" spans="1:65" x14ac:dyDescent="0.25">
      <c r="A1">
        <v>-7923</v>
      </c>
      <c r="B1">
        <v>7923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</row>
    <row r="2" spans="1:65" x14ac:dyDescent="0.25">
      <c r="A2">
        <v>5745</v>
      </c>
      <c r="B2">
        <v>-181386</v>
      </c>
      <c r="C2">
        <v>45206</v>
      </c>
      <c r="D2">
        <v>0</v>
      </c>
      <c r="E2">
        <v>9654</v>
      </c>
      <c r="F2">
        <v>0</v>
      </c>
      <c r="G2">
        <v>0</v>
      </c>
      <c r="H2">
        <v>0</v>
      </c>
      <c r="I2">
        <v>1102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119679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-5745</v>
      </c>
    </row>
    <row r="3" spans="1:65" x14ac:dyDescent="0.25">
      <c r="A3">
        <v>0</v>
      </c>
      <c r="B3">
        <v>0</v>
      </c>
      <c r="C3">
        <v>-46418</v>
      </c>
      <c r="D3">
        <v>46418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>
        <v>1245</v>
      </c>
      <c r="B4">
        <v>4</v>
      </c>
      <c r="C4">
        <v>4</v>
      </c>
      <c r="D4">
        <v>-46408</v>
      </c>
      <c r="E4">
        <v>624</v>
      </c>
      <c r="F4">
        <v>3031</v>
      </c>
      <c r="G4">
        <v>8679</v>
      </c>
      <c r="H4">
        <v>0</v>
      </c>
      <c r="I4">
        <v>228</v>
      </c>
      <c r="J4">
        <v>206</v>
      </c>
      <c r="K4">
        <v>1895</v>
      </c>
      <c r="L4">
        <v>0</v>
      </c>
      <c r="M4">
        <v>1464</v>
      </c>
      <c r="N4">
        <v>0</v>
      </c>
      <c r="O4">
        <v>0</v>
      </c>
      <c r="P4">
        <v>0</v>
      </c>
      <c r="Q4">
        <v>18</v>
      </c>
      <c r="R4">
        <v>1220</v>
      </c>
      <c r="S4">
        <v>17335</v>
      </c>
      <c r="T4">
        <v>0</v>
      </c>
      <c r="U4">
        <v>5350</v>
      </c>
      <c r="V4">
        <v>0</v>
      </c>
      <c r="W4">
        <v>0</v>
      </c>
      <c r="X4">
        <v>0</v>
      </c>
      <c r="Y4">
        <v>105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5000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-3368</v>
      </c>
    </row>
    <row r="5" spans="1:65" x14ac:dyDescent="0.25">
      <c r="A5">
        <v>0</v>
      </c>
      <c r="B5">
        <v>0</v>
      </c>
      <c r="C5">
        <v>0</v>
      </c>
      <c r="D5">
        <v>0</v>
      </c>
      <c r="E5">
        <v>-11453</v>
      </c>
      <c r="F5">
        <v>11453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>
        <v>301</v>
      </c>
      <c r="B6">
        <v>7</v>
      </c>
      <c r="C6">
        <v>683</v>
      </c>
      <c r="D6">
        <v>0</v>
      </c>
      <c r="E6">
        <v>643</v>
      </c>
      <c r="F6">
        <v>-14548</v>
      </c>
      <c r="G6">
        <v>1579</v>
      </c>
      <c r="H6">
        <v>0</v>
      </c>
      <c r="I6">
        <v>83</v>
      </c>
      <c r="J6">
        <v>367</v>
      </c>
      <c r="K6">
        <v>1430</v>
      </c>
      <c r="L6">
        <v>0</v>
      </c>
      <c r="M6">
        <v>68</v>
      </c>
      <c r="N6">
        <v>0</v>
      </c>
      <c r="O6">
        <v>0</v>
      </c>
      <c r="P6">
        <v>0</v>
      </c>
      <c r="Q6">
        <v>45</v>
      </c>
      <c r="R6">
        <v>49</v>
      </c>
      <c r="S6">
        <v>220</v>
      </c>
      <c r="T6">
        <v>0</v>
      </c>
      <c r="U6">
        <v>5052</v>
      </c>
      <c r="V6">
        <v>0</v>
      </c>
      <c r="W6">
        <v>0</v>
      </c>
      <c r="X6">
        <v>0</v>
      </c>
      <c r="Y6">
        <v>3931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-2063</v>
      </c>
    </row>
    <row r="7" spans="1:6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-11571</v>
      </c>
      <c r="H7">
        <v>11571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>
        <v>324</v>
      </c>
      <c r="B8">
        <v>0</v>
      </c>
      <c r="C8">
        <v>4</v>
      </c>
      <c r="D8">
        <v>0</v>
      </c>
      <c r="E8">
        <v>162</v>
      </c>
      <c r="F8">
        <v>2</v>
      </c>
      <c r="G8">
        <v>491</v>
      </c>
      <c r="H8">
        <v>-11542</v>
      </c>
      <c r="I8">
        <v>61</v>
      </c>
      <c r="J8">
        <v>3</v>
      </c>
      <c r="K8">
        <v>330</v>
      </c>
      <c r="L8">
        <v>61</v>
      </c>
      <c r="M8">
        <v>377</v>
      </c>
      <c r="N8">
        <v>315</v>
      </c>
      <c r="O8">
        <v>1838</v>
      </c>
      <c r="P8">
        <v>0</v>
      </c>
      <c r="Q8">
        <v>2</v>
      </c>
      <c r="R8">
        <v>0</v>
      </c>
      <c r="S8">
        <v>25</v>
      </c>
      <c r="T8">
        <v>56</v>
      </c>
      <c r="U8">
        <v>45</v>
      </c>
      <c r="V8">
        <v>37</v>
      </c>
      <c r="W8">
        <v>3554</v>
      </c>
      <c r="X8">
        <v>0</v>
      </c>
      <c r="Y8">
        <v>16</v>
      </c>
      <c r="Z8">
        <v>8</v>
      </c>
      <c r="AA8">
        <v>1085</v>
      </c>
      <c r="AB8">
        <v>0</v>
      </c>
      <c r="AC8">
        <v>1527</v>
      </c>
      <c r="AD8">
        <v>0</v>
      </c>
      <c r="AE8">
        <v>0</v>
      </c>
      <c r="AF8">
        <v>0</v>
      </c>
      <c r="AG8">
        <v>2</v>
      </c>
      <c r="AH8">
        <v>3</v>
      </c>
      <c r="AI8">
        <v>88</v>
      </c>
      <c r="AJ8">
        <v>0</v>
      </c>
      <c r="AK8">
        <v>129</v>
      </c>
      <c r="AL8">
        <v>0</v>
      </c>
      <c r="AM8">
        <v>0</v>
      </c>
      <c r="AN8">
        <v>0</v>
      </c>
      <c r="AO8">
        <v>984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-2721</v>
      </c>
    </row>
    <row r="9" spans="1:6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-1568</v>
      </c>
      <c r="J9">
        <v>1568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>
        <v>43</v>
      </c>
      <c r="B10">
        <v>19</v>
      </c>
      <c r="C10">
        <v>373</v>
      </c>
      <c r="D10">
        <v>0</v>
      </c>
      <c r="E10">
        <v>117</v>
      </c>
      <c r="F10">
        <v>0</v>
      </c>
      <c r="G10">
        <v>0</v>
      </c>
      <c r="H10">
        <v>0</v>
      </c>
      <c r="I10">
        <v>24</v>
      </c>
      <c r="J10">
        <v>-2178</v>
      </c>
      <c r="K10">
        <v>251</v>
      </c>
      <c r="L10">
        <v>0</v>
      </c>
      <c r="M10">
        <v>1</v>
      </c>
      <c r="N10">
        <v>0</v>
      </c>
      <c r="O10">
        <v>0</v>
      </c>
      <c r="P10">
        <v>0</v>
      </c>
      <c r="Q10">
        <v>533</v>
      </c>
      <c r="R10">
        <v>2</v>
      </c>
      <c r="S10">
        <v>7</v>
      </c>
      <c r="T10">
        <v>0</v>
      </c>
      <c r="U10">
        <v>0</v>
      </c>
      <c r="V10">
        <v>0</v>
      </c>
      <c r="W10">
        <v>0</v>
      </c>
      <c r="X10">
        <v>0</v>
      </c>
      <c r="Y10">
        <v>802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-1152</v>
      </c>
    </row>
    <row r="11" spans="1:6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-4409</v>
      </c>
      <c r="L11">
        <v>4409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>
        <v>124</v>
      </c>
      <c r="B12">
        <v>0</v>
      </c>
      <c r="C12">
        <v>0</v>
      </c>
      <c r="D12">
        <v>0</v>
      </c>
      <c r="E12">
        <v>62</v>
      </c>
      <c r="F12">
        <v>73</v>
      </c>
      <c r="G12">
        <v>630</v>
      </c>
      <c r="H12">
        <v>0</v>
      </c>
      <c r="I12">
        <v>34</v>
      </c>
      <c r="J12">
        <v>7</v>
      </c>
      <c r="K12">
        <v>168</v>
      </c>
      <c r="L12">
        <v>-4467</v>
      </c>
      <c r="M12">
        <v>161</v>
      </c>
      <c r="N12">
        <v>182</v>
      </c>
      <c r="O12">
        <v>354</v>
      </c>
      <c r="P12">
        <v>0</v>
      </c>
      <c r="Q12">
        <v>6</v>
      </c>
      <c r="R12">
        <v>1</v>
      </c>
      <c r="S12">
        <v>752</v>
      </c>
      <c r="T12">
        <v>2</v>
      </c>
      <c r="U12">
        <v>214</v>
      </c>
      <c r="V12">
        <v>5</v>
      </c>
      <c r="W12">
        <v>81</v>
      </c>
      <c r="X12">
        <v>0</v>
      </c>
      <c r="Y12">
        <v>14</v>
      </c>
      <c r="Z12">
        <v>37</v>
      </c>
      <c r="AA12">
        <v>920</v>
      </c>
      <c r="AB12">
        <v>0</v>
      </c>
      <c r="AC12">
        <v>199</v>
      </c>
      <c r="AD12">
        <v>0</v>
      </c>
      <c r="AE12">
        <v>0</v>
      </c>
      <c r="AF12">
        <v>0</v>
      </c>
      <c r="AG12">
        <v>368</v>
      </c>
      <c r="AH12">
        <v>0</v>
      </c>
      <c r="AI12">
        <v>15</v>
      </c>
      <c r="AJ12">
        <v>0</v>
      </c>
      <c r="AK12">
        <v>8</v>
      </c>
      <c r="AL12">
        <v>0</v>
      </c>
      <c r="AM12">
        <v>0</v>
      </c>
      <c r="AN12">
        <v>0</v>
      </c>
      <c r="AO12">
        <v>47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-2964</v>
      </c>
    </row>
    <row r="13" spans="1:6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-2210</v>
      </c>
      <c r="N13">
        <v>2210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>
        <v>61</v>
      </c>
      <c r="B14">
        <v>0</v>
      </c>
      <c r="C14">
        <v>148</v>
      </c>
      <c r="D14">
        <v>0</v>
      </c>
      <c r="E14">
        <v>147</v>
      </c>
      <c r="F14">
        <v>0</v>
      </c>
      <c r="G14">
        <v>20</v>
      </c>
      <c r="H14">
        <v>0</v>
      </c>
      <c r="I14">
        <v>17</v>
      </c>
      <c r="J14">
        <v>29</v>
      </c>
      <c r="K14">
        <v>259</v>
      </c>
      <c r="L14">
        <v>0</v>
      </c>
      <c r="M14">
        <v>19</v>
      </c>
      <c r="N14">
        <v>-2747</v>
      </c>
      <c r="O14">
        <v>386</v>
      </c>
      <c r="P14">
        <v>0</v>
      </c>
      <c r="Q14">
        <v>9</v>
      </c>
      <c r="R14">
        <v>0</v>
      </c>
      <c r="S14">
        <v>7</v>
      </c>
      <c r="T14">
        <v>0</v>
      </c>
      <c r="U14">
        <v>247</v>
      </c>
      <c r="V14">
        <v>2</v>
      </c>
      <c r="W14">
        <v>26</v>
      </c>
      <c r="X14">
        <v>0</v>
      </c>
      <c r="Y14">
        <v>403</v>
      </c>
      <c r="Z14">
        <v>0</v>
      </c>
      <c r="AA14">
        <v>27</v>
      </c>
      <c r="AB14">
        <v>0</v>
      </c>
      <c r="AC14">
        <v>914</v>
      </c>
      <c r="AD14">
        <v>0</v>
      </c>
      <c r="AE14">
        <v>0</v>
      </c>
      <c r="AF14">
        <v>0</v>
      </c>
      <c r="AG14">
        <v>5</v>
      </c>
      <c r="AH14">
        <v>0</v>
      </c>
      <c r="AI14">
        <v>0</v>
      </c>
      <c r="AJ14">
        <v>0</v>
      </c>
      <c r="AK14">
        <v>7</v>
      </c>
      <c r="AL14">
        <v>0</v>
      </c>
      <c r="AM14">
        <v>0</v>
      </c>
      <c r="AN14">
        <v>0</v>
      </c>
      <c r="AO14">
        <v>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-1814</v>
      </c>
    </row>
    <row r="15" spans="1:65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-3111</v>
      </c>
      <c r="P15">
        <v>3111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>
        <v>80</v>
      </c>
      <c r="B16">
        <v>0</v>
      </c>
      <c r="C16">
        <v>0</v>
      </c>
      <c r="D16">
        <v>0</v>
      </c>
      <c r="E16">
        <v>44</v>
      </c>
      <c r="F16">
        <v>0</v>
      </c>
      <c r="G16">
        <v>172</v>
      </c>
      <c r="H16">
        <v>0</v>
      </c>
      <c r="I16">
        <v>19</v>
      </c>
      <c r="J16">
        <v>0</v>
      </c>
      <c r="K16">
        <v>76</v>
      </c>
      <c r="L16">
        <v>0</v>
      </c>
      <c r="M16">
        <v>120</v>
      </c>
      <c r="N16">
        <v>44</v>
      </c>
      <c r="O16">
        <v>533</v>
      </c>
      <c r="P16">
        <v>-3082</v>
      </c>
      <c r="Q16">
        <v>3</v>
      </c>
      <c r="R16">
        <v>0</v>
      </c>
      <c r="S16">
        <v>5</v>
      </c>
      <c r="T16">
        <v>0</v>
      </c>
      <c r="U16">
        <v>11</v>
      </c>
      <c r="V16">
        <v>0</v>
      </c>
      <c r="W16">
        <v>221</v>
      </c>
      <c r="X16">
        <v>3</v>
      </c>
      <c r="Y16">
        <v>5</v>
      </c>
      <c r="Z16">
        <v>0</v>
      </c>
      <c r="AA16">
        <v>317</v>
      </c>
      <c r="AB16">
        <v>0</v>
      </c>
      <c r="AC16">
        <v>130</v>
      </c>
      <c r="AD16">
        <v>0</v>
      </c>
      <c r="AE16">
        <v>951</v>
      </c>
      <c r="AF16">
        <v>0</v>
      </c>
      <c r="AG16">
        <v>2</v>
      </c>
      <c r="AH16">
        <v>0</v>
      </c>
      <c r="AI16">
        <v>4</v>
      </c>
      <c r="AJ16">
        <v>0</v>
      </c>
      <c r="AK16">
        <v>8</v>
      </c>
      <c r="AL16">
        <v>0</v>
      </c>
      <c r="AM16">
        <v>16</v>
      </c>
      <c r="AN16">
        <v>0</v>
      </c>
      <c r="AO16">
        <v>221</v>
      </c>
      <c r="AP16">
        <v>0</v>
      </c>
      <c r="AQ16">
        <v>10</v>
      </c>
      <c r="AR16">
        <v>0</v>
      </c>
      <c r="AS16">
        <v>86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-2778</v>
      </c>
    </row>
    <row r="17" spans="1:6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-127314</v>
      </c>
      <c r="R17">
        <v>127314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3634</v>
      </c>
      <c r="R18">
        <v>-128636</v>
      </c>
      <c r="S18">
        <v>32180</v>
      </c>
      <c r="T18">
        <v>0</v>
      </c>
      <c r="U18">
        <v>6204</v>
      </c>
      <c r="V18">
        <v>0</v>
      </c>
      <c r="W18">
        <v>0</v>
      </c>
      <c r="X18">
        <v>0</v>
      </c>
      <c r="Y18">
        <v>705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85913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-3634</v>
      </c>
    </row>
    <row r="19" spans="1:6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-53628</v>
      </c>
      <c r="T19">
        <v>53628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1455</v>
      </c>
      <c r="R20">
        <v>10</v>
      </c>
      <c r="S20">
        <v>8</v>
      </c>
      <c r="T20">
        <v>-53637</v>
      </c>
      <c r="U20">
        <v>808</v>
      </c>
      <c r="V20">
        <v>3752</v>
      </c>
      <c r="W20">
        <v>10243</v>
      </c>
      <c r="X20">
        <v>0</v>
      </c>
      <c r="Y20">
        <v>299</v>
      </c>
      <c r="Z20">
        <v>282</v>
      </c>
      <c r="AA20">
        <v>2393</v>
      </c>
      <c r="AB20">
        <v>0</v>
      </c>
      <c r="AC20">
        <v>1594</v>
      </c>
      <c r="AD20">
        <v>0</v>
      </c>
      <c r="AE20">
        <v>0</v>
      </c>
      <c r="AF20">
        <v>0</v>
      </c>
      <c r="AG20">
        <v>35</v>
      </c>
      <c r="AH20">
        <v>1553</v>
      </c>
      <c r="AI20">
        <v>20457</v>
      </c>
      <c r="AJ20">
        <v>0</v>
      </c>
      <c r="AK20">
        <v>4382</v>
      </c>
      <c r="AL20">
        <v>0</v>
      </c>
      <c r="AM20">
        <v>0</v>
      </c>
      <c r="AN20">
        <v>0</v>
      </c>
      <c r="AO20">
        <v>146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6220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-4070</v>
      </c>
    </row>
    <row r="21" spans="1:6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-20431</v>
      </c>
      <c r="V21">
        <v>20431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555</v>
      </c>
      <c r="R22">
        <v>27</v>
      </c>
      <c r="S22">
        <v>1336</v>
      </c>
      <c r="T22">
        <v>0</v>
      </c>
      <c r="U22">
        <v>1169</v>
      </c>
      <c r="V22">
        <v>-24373</v>
      </c>
      <c r="W22">
        <v>3857</v>
      </c>
      <c r="X22">
        <v>0</v>
      </c>
      <c r="Y22">
        <v>144</v>
      </c>
      <c r="Z22">
        <v>912</v>
      </c>
      <c r="AA22">
        <v>1503</v>
      </c>
      <c r="AB22">
        <v>0</v>
      </c>
      <c r="AC22">
        <v>78</v>
      </c>
      <c r="AD22">
        <v>0</v>
      </c>
      <c r="AE22">
        <v>0</v>
      </c>
      <c r="AF22">
        <v>0</v>
      </c>
      <c r="AG22">
        <v>91</v>
      </c>
      <c r="AH22">
        <v>210</v>
      </c>
      <c r="AI22">
        <v>227</v>
      </c>
      <c r="AJ22">
        <v>0</v>
      </c>
      <c r="AK22">
        <v>9809</v>
      </c>
      <c r="AL22">
        <v>0</v>
      </c>
      <c r="AM22">
        <v>0</v>
      </c>
      <c r="AN22">
        <v>0</v>
      </c>
      <c r="AO22">
        <v>4258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197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-3877</v>
      </c>
    </row>
    <row r="23" spans="1:6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-20718</v>
      </c>
      <c r="X23">
        <v>20718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562</v>
      </c>
      <c r="R24">
        <v>2</v>
      </c>
      <c r="S24">
        <v>4</v>
      </c>
      <c r="T24">
        <v>0</v>
      </c>
      <c r="U24">
        <v>332</v>
      </c>
      <c r="V24">
        <v>15</v>
      </c>
      <c r="W24">
        <v>1062</v>
      </c>
      <c r="X24">
        <v>-20647</v>
      </c>
      <c r="Y24">
        <v>134</v>
      </c>
      <c r="Z24">
        <v>7</v>
      </c>
      <c r="AA24">
        <v>660</v>
      </c>
      <c r="AB24">
        <v>148</v>
      </c>
      <c r="AC24">
        <v>751</v>
      </c>
      <c r="AD24">
        <v>636</v>
      </c>
      <c r="AE24">
        <v>3012</v>
      </c>
      <c r="AF24">
        <v>0</v>
      </c>
      <c r="AG24">
        <v>16</v>
      </c>
      <c r="AH24">
        <v>0</v>
      </c>
      <c r="AI24">
        <v>81</v>
      </c>
      <c r="AJ24">
        <v>98</v>
      </c>
      <c r="AK24">
        <v>81</v>
      </c>
      <c r="AL24">
        <v>73</v>
      </c>
      <c r="AM24">
        <v>6969</v>
      </c>
      <c r="AN24">
        <v>0</v>
      </c>
      <c r="AO24">
        <v>32</v>
      </c>
      <c r="AP24">
        <v>13</v>
      </c>
      <c r="AQ24">
        <v>1947</v>
      </c>
      <c r="AR24">
        <v>0</v>
      </c>
      <c r="AS24">
        <v>1498</v>
      </c>
      <c r="AT24">
        <v>0</v>
      </c>
      <c r="AU24">
        <v>0</v>
      </c>
      <c r="AV24">
        <v>0</v>
      </c>
      <c r="AW24">
        <v>5</v>
      </c>
      <c r="AX24">
        <v>1</v>
      </c>
      <c r="AY24">
        <v>450</v>
      </c>
      <c r="AZ24">
        <v>0</v>
      </c>
      <c r="BA24">
        <v>1984</v>
      </c>
      <c r="BB24">
        <v>0</v>
      </c>
      <c r="BC24">
        <v>0</v>
      </c>
      <c r="BD24">
        <v>0</v>
      </c>
      <c r="BE24">
        <v>74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-5356</v>
      </c>
    </row>
    <row r="25" spans="1:6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-6785</v>
      </c>
      <c r="Z25">
        <v>6785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195</v>
      </c>
      <c r="R26">
        <v>114</v>
      </c>
      <c r="S26">
        <v>1383</v>
      </c>
      <c r="T26">
        <v>0</v>
      </c>
      <c r="U26">
        <v>394</v>
      </c>
      <c r="V26">
        <v>0</v>
      </c>
      <c r="W26">
        <v>0</v>
      </c>
      <c r="X26">
        <v>0</v>
      </c>
      <c r="Y26">
        <v>49</v>
      </c>
      <c r="Z26">
        <v>-8129</v>
      </c>
      <c r="AA26">
        <v>1242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1727</v>
      </c>
      <c r="AH26">
        <v>33</v>
      </c>
      <c r="AI26">
        <v>195</v>
      </c>
      <c r="AJ26">
        <v>0</v>
      </c>
      <c r="AK26">
        <v>34</v>
      </c>
      <c r="AL26">
        <v>0</v>
      </c>
      <c r="AM26">
        <v>0</v>
      </c>
      <c r="AN26">
        <v>0</v>
      </c>
      <c r="AO26">
        <v>2663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99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-4057</v>
      </c>
    </row>
    <row r="27" spans="1:6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-9205</v>
      </c>
      <c r="AB27">
        <v>9205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239</v>
      </c>
      <c r="R28">
        <v>0</v>
      </c>
      <c r="S28">
        <v>4</v>
      </c>
      <c r="T28">
        <v>1</v>
      </c>
      <c r="U28">
        <v>130</v>
      </c>
      <c r="V28">
        <v>145</v>
      </c>
      <c r="W28">
        <v>1258</v>
      </c>
      <c r="X28">
        <v>0</v>
      </c>
      <c r="Y28">
        <v>73</v>
      </c>
      <c r="Z28">
        <v>16</v>
      </c>
      <c r="AA28">
        <v>410</v>
      </c>
      <c r="AB28">
        <v>-9342</v>
      </c>
      <c r="AC28">
        <v>321</v>
      </c>
      <c r="AD28">
        <v>351</v>
      </c>
      <c r="AE28">
        <v>783</v>
      </c>
      <c r="AF28">
        <v>0</v>
      </c>
      <c r="AG28">
        <v>2</v>
      </c>
      <c r="AH28">
        <v>7</v>
      </c>
      <c r="AI28">
        <v>1508</v>
      </c>
      <c r="AJ28">
        <v>19</v>
      </c>
      <c r="AK28">
        <v>581</v>
      </c>
      <c r="AL28">
        <v>22</v>
      </c>
      <c r="AM28">
        <v>117</v>
      </c>
      <c r="AN28">
        <v>0</v>
      </c>
      <c r="AO28">
        <v>35</v>
      </c>
      <c r="AP28">
        <v>113</v>
      </c>
      <c r="AQ28">
        <v>1803</v>
      </c>
      <c r="AR28">
        <v>0</v>
      </c>
      <c r="AS28">
        <v>242</v>
      </c>
      <c r="AT28">
        <v>0</v>
      </c>
      <c r="AU28">
        <v>0</v>
      </c>
      <c r="AV28">
        <v>0</v>
      </c>
      <c r="AW28">
        <v>38</v>
      </c>
      <c r="AX28">
        <v>0</v>
      </c>
      <c r="AY28">
        <v>79</v>
      </c>
      <c r="AZ28">
        <v>0</v>
      </c>
      <c r="BA28">
        <v>3</v>
      </c>
      <c r="BB28">
        <v>0</v>
      </c>
      <c r="BC28">
        <v>0</v>
      </c>
      <c r="BD28">
        <v>0</v>
      </c>
      <c r="BE28">
        <v>1042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-5455</v>
      </c>
    </row>
    <row r="29" spans="1:6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-5879</v>
      </c>
      <c r="AD29">
        <v>5879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137</v>
      </c>
      <c r="R30">
        <v>5</v>
      </c>
      <c r="S30">
        <v>361</v>
      </c>
      <c r="T30">
        <v>0</v>
      </c>
      <c r="U30">
        <v>343</v>
      </c>
      <c r="V30">
        <v>1</v>
      </c>
      <c r="W30">
        <v>55</v>
      </c>
      <c r="X30">
        <v>0</v>
      </c>
      <c r="Y30">
        <v>37</v>
      </c>
      <c r="Z30">
        <v>85</v>
      </c>
      <c r="AA30">
        <v>452</v>
      </c>
      <c r="AB30">
        <v>0</v>
      </c>
      <c r="AC30">
        <v>46</v>
      </c>
      <c r="AD30">
        <v>-6942</v>
      </c>
      <c r="AE30">
        <v>1627</v>
      </c>
      <c r="AF30">
        <v>0</v>
      </c>
      <c r="AG30">
        <v>28</v>
      </c>
      <c r="AH30">
        <v>0</v>
      </c>
      <c r="AI30">
        <v>44</v>
      </c>
      <c r="AJ30">
        <v>0</v>
      </c>
      <c r="AK30">
        <v>645</v>
      </c>
      <c r="AL30">
        <v>12</v>
      </c>
      <c r="AM30">
        <v>55</v>
      </c>
      <c r="AN30">
        <v>0</v>
      </c>
      <c r="AO30">
        <v>906</v>
      </c>
      <c r="AP30">
        <v>8</v>
      </c>
      <c r="AQ30">
        <v>130</v>
      </c>
      <c r="AR30">
        <v>0</v>
      </c>
      <c r="AS30">
        <v>1862</v>
      </c>
      <c r="AT30">
        <v>0</v>
      </c>
      <c r="AU30">
        <v>0</v>
      </c>
      <c r="AV30">
        <v>0</v>
      </c>
      <c r="AW30">
        <v>12</v>
      </c>
      <c r="AX30">
        <v>0</v>
      </c>
      <c r="AY30">
        <v>4</v>
      </c>
      <c r="AZ30">
        <v>0</v>
      </c>
      <c r="BA30">
        <v>64</v>
      </c>
      <c r="BB30">
        <v>0</v>
      </c>
      <c r="BC30">
        <v>0</v>
      </c>
      <c r="BD30">
        <v>0</v>
      </c>
      <c r="BE30">
        <v>23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-4205</v>
      </c>
    </row>
    <row r="31" spans="1:6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-7525</v>
      </c>
      <c r="AF31">
        <v>7525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242</v>
      </c>
      <c r="R32">
        <v>0</v>
      </c>
      <c r="S32">
        <v>1</v>
      </c>
      <c r="T32">
        <v>0</v>
      </c>
      <c r="U32">
        <v>132</v>
      </c>
      <c r="V32">
        <v>1</v>
      </c>
      <c r="W32">
        <v>361</v>
      </c>
      <c r="X32">
        <v>3</v>
      </c>
      <c r="Y32">
        <v>68</v>
      </c>
      <c r="Z32">
        <v>1</v>
      </c>
      <c r="AA32">
        <v>196</v>
      </c>
      <c r="AB32">
        <v>0</v>
      </c>
      <c r="AC32">
        <v>318</v>
      </c>
      <c r="AD32">
        <v>92</v>
      </c>
      <c r="AE32">
        <v>1152</v>
      </c>
      <c r="AF32">
        <v>-7469</v>
      </c>
      <c r="AG32">
        <v>8</v>
      </c>
      <c r="AH32">
        <v>0</v>
      </c>
      <c r="AI32">
        <v>26</v>
      </c>
      <c r="AJ32">
        <v>0</v>
      </c>
      <c r="AK32">
        <v>28</v>
      </c>
      <c r="AL32">
        <v>0</v>
      </c>
      <c r="AM32">
        <v>637</v>
      </c>
      <c r="AN32">
        <v>1</v>
      </c>
      <c r="AO32">
        <v>8</v>
      </c>
      <c r="AP32">
        <v>0</v>
      </c>
      <c r="AQ32">
        <v>710</v>
      </c>
      <c r="AR32">
        <v>0</v>
      </c>
      <c r="AS32">
        <v>371</v>
      </c>
      <c r="AT32">
        <v>5</v>
      </c>
      <c r="AU32">
        <v>2101</v>
      </c>
      <c r="AV32">
        <v>0</v>
      </c>
      <c r="AW32">
        <v>0</v>
      </c>
      <c r="AX32">
        <v>0</v>
      </c>
      <c r="AY32">
        <v>18</v>
      </c>
      <c r="AZ32">
        <v>0</v>
      </c>
      <c r="BA32">
        <v>6</v>
      </c>
      <c r="BB32">
        <v>0</v>
      </c>
      <c r="BC32">
        <v>155</v>
      </c>
      <c r="BD32">
        <v>0</v>
      </c>
      <c r="BE32">
        <v>8</v>
      </c>
      <c r="BF32">
        <v>0</v>
      </c>
      <c r="BG32">
        <v>89</v>
      </c>
      <c r="BH32">
        <v>0</v>
      </c>
      <c r="BI32">
        <v>731</v>
      </c>
      <c r="BJ32">
        <v>0</v>
      </c>
      <c r="BK32">
        <v>0</v>
      </c>
      <c r="BL32">
        <v>0</v>
      </c>
      <c r="BM32">
        <v>-6470</v>
      </c>
    </row>
    <row r="33" spans="1:6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-100170</v>
      </c>
      <c r="AH33">
        <v>100170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3125</v>
      </c>
      <c r="AH34">
        <v>-102117</v>
      </c>
      <c r="AI34">
        <v>26065</v>
      </c>
      <c r="AJ34">
        <v>0</v>
      </c>
      <c r="AK34">
        <v>4952</v>
      </c>
      <c r="AL34">
        <v>0</v>
      </c>
      <c r="AM34">
        <v>0</v>
      </c>
      <c r="AN34">
        <v>0</v>
      </c>
      <c r="AO34">
        <v>497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67478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-3125</v>
      </c>
    </row>
    <row r="35" spans="1:6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-53345</v>
      </c>
      <c r="AJ35">
        <v>53345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1438</v>
      </c>
      <c r="AH36">
        <v>3</v>
      </c>
      <c r="AI36">
        <v>37</v>
      </c>
      <c r="AJ36">
        <v>-53424</v>
      </c>
      <c r="AK36">
        <v>1062</v>
      </c>
      <c r="AL36">
        <v>4873</v>
      </c>
      <c r="AM36">
        <v>9345</v>
      </c>
      <c r="AN36">
        <v>0</v>
      </c>
      <c r="AO36">
        <v>326</v>
      </c>
      <c r="AP36">
        <v>320</v>
      </c>
      <c r="AQ36">
        <v>2266</v>
      </c>
      <c r="AR36">
        <v>0</v>
      </c>
      <c r="AS36">
        <v>1056</v>
      </c>
      <c r="AT36">
        <v>0</v>
      </c>
      <c r="AU36">
        <v>0</v>
      </c>
      <c r="AV36">
        <v>0</v>
      </c>
      <c r="AW36">
        <v>45</v>
      </c>
      <c r="AX36">
        <v>1690</v>
      </c>
      <c r="AY36">
        <v>30833</v>
      </c>
      <c r="AZ36">
        <v>0</v>
      </c>
      <c r="BA36">
        <v>113</v>
      </c>
      <c r="BB36">
        <v>0</v>
      </c>
      <c r="BC36">
        <v>0</v>
      </c>
      <c r="BD36">
        <v>0</v>
      </c>
      <c r="BE36">
        <v>17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-4349</v>
      </c>
    </row>
    <row r="37" spans="1:6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-25489</v>
      </c>
      <c r="AL37">
        <v>25489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685</v>
      </c>
      <c r="AH38">
        <v>21</v>
      </c>
      <c r="AI38">
        <v>2369</v>
      </c>
      <c r="AJ38">
        <v>0</v>
      </c>
      <c r="AK38">
        <v>1700</v>
      </c>
      <c r="AL38">
        <v>-30662</v>
      </c>
      <c r="AM38">
        <v>5389</v>
      </c>
      <c r="AN38">
        <v>0</v>
      </c>
      <c r="AO38">
        <v>181</v>
      </c>
      <c r="AP38">
        <v>946</v>
      </c>
      <c r="AQ38">
        <v>898</v>
      </c>
      <c r="AR38">
        <v>0</v>
      </c>
      <c r="AS38">
        <v>14</v>
      </c>
      <c r="AT38">
        <v>0</v>
      </c>
      <c r="AU38">
        <v>0</v>
      </c>
      <c r="AV38">
        <v>0</v>
      </c>
      <c r="AW38">
        <v>177</v>
      </c>
      <c r="AX38">
        <v>78</v>
      </c>
      <c r="AY38">
        <v>282</v>
      </c>
      <c r="AZ38">
        <v>0</v>
      </c>
      <c r="BA38">
        <v>17918</v>
      </c>
      <c r="BB38">
        <v>0</v>
      </c>
      <c r="BC38">
        <v>0</v>
      </c>
      <c r="BD38">
        <v>0</v>
      </c>
      <c r="BE38">
        <v>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-5818</v>
      </c>
    </row>
    <row r="39" spans="1:6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-25451</v>
      </c>
      <c r="AN39">
        <v>25451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613</v>
      </c>
      <c r="AH40">
        <v>0</v>
      </c>
      <c r="AI40">
        <v>12</v>
      </c>
      <c r="AJ40">
        <v>1</v>
      </c>
      <c r="AK40">
        <v>609</v>
      </c>
      <c r="AL40">
        <v>3</v>
      </c>
      <c r="AM40">
        <v>1257</v>
      </c>
      <c r="AN40">
        <v>-25358</v>
      </c>
      <c r="AO40">
        <v>193</v>
      </c>
      <c r="AP40">
        <v>14</v>
      </c>
      <c r="AQ40">
        <v>1138</v>
      </c>
      <c r="AR40">
        <v>163</v>
      </c>
      <c r="AS40">
        <v>624</v>
      </c>
      <c r="AT40">
        <v>663</v>
      </c>
      <c r="AU40">
        <v>3179</v>
      </c>
      <c r="AV40">
        <v>0</v>
      </c>
      <c r="AW40">
        <v>11</v>
      </c>
      <c r="AX40">
        <v>0</v>
      </c>
      <c r="AY40">
        <v>97</v>
      </c>
      <c r="AZ40">
        <v>81</v>
      </c>
      <c r="BA40">
        <v>48</v>
      </c>
      <c r="BB40">
        <v>26</v>
      </c>
      <c r="BC40">
        <v>15932</v>
      </c>
      <c r="BD40">
        <v>0</v>
      </c>
      <c r="BE40">
        <v>17</v>
      </c>
      <c r="BF40">
        <v>1</v>
      </c>
      <c r="BG40">
        <v>675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-6688</v>
      </c>
    </row>
    <row r="41" spans="1:6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-10800</v>
      </c>
      <c r="AP41">
        <v>10800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279</v>
      </c>
      <c r="AH42">
        <v>179</v>
      </c>
      <c r="AI42">
        <v>1613</v>
      </c>
      <c r="AJ42">
        <v>0</v>
      </c>
      <c r="AK42">
        <v>517</v>
      </c>
      <c r="AL42">
        <v>0</v>
      </c>
      <c r="AM42">
        <v>0</v>
      </c>
      <c r="AN42">
        <v>0</v>
      </c>
      <c r="AO42">
        <v>70</v>
      </c>
      <c r="AP42">
        <v>-12335</v>
      </c>
      <c r="AQ42">
        <v>2109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23</v>
      </c>
      <c r="AX42">
        <v>11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7533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-2960</v>
      </c>
    </row>
    <row r="43" spans="1:6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-12114</v>
      </c>
      <c r="AR43">
        <v>12114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321</v>
      </c>
      <c r="AH44">
        <v>1</v>
      </c>
      <c r="AI44">
        <v>6</v>
      </c>
      <c r="AJ44">
        <v>8</v>
      </c>
      <c r="AK44">
        <v>271</v>
      </c>
      <c r="AL44">
        <v>215</v>
      </c>
      <c r="AM44">
        <v>1226</v>
      </c>
      <c r="AN44">
        <v>0</v>
      </c>
      <c r="AO44">
        <v>82</v>
      </c>
      <c r="AP44">
        <v>25</v>
      </c>
      <c r="AQ44">
        <v>498</v>
      </c>
      <c r="AR44">
        <v>-12262</v>
      </c>
      <c r="AS44">
        <v>232</v>
      </c>
      <c r="AT44">
        <v>789</v>
      </c>
      <c r="AU44">
        <v>1151</v>
      </c>
      <c r="AV44">
        <v>0</v>
      </c>
      <c r="AW44">
        <v>12</v>
      </c>
      <c r="AX44">
        <v>8</v>
      </c>
      <c r="AY44">
        <v>13</v>
      </c>
      <c r="AZ44">
        <v>76</v>
      </c>
      <c r="BA44">
        <v>16</v>
      </c>
      <c r="BB44">
        <v>1</v>
      </c>
      <c r="BC44">
        <v>4</v>
      </c>
      <c r="BD44">
        <v>0</v>
      </c>
      <c r="BE44">
        <v>6</v>
      </c>
      <c r="BF44">
        <v>63</v>
      </c>
      <c r="BG44">
        <v>7238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-3954</v>
      </c>
    </row>
    <row r="45" spans="1:6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-6249</v>
      </c>
      <c r="AT45">
        <v>6249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160</v>
      </c>
      <c r="AH46">
        <v>2</v>
      </c>
      <c r="AI46">
        <v>592</v>
      </c>
      <c r="AJ46">
        <v>0</v>
      </c>
      <c r="AK46">
        <v>439</v>
      </c>
      <c r="AL46">
        <v>2</v>
      </c>
      <c r="AM46">
        <v>7</v>
      </c>
      <c r="AN46">
        <v>0</v>
      </c>
      <c r="AO46">
        <v>41</v>
      </c>
      <c r="AP46">
        <v>96</v>
      </c>
      <c r="AQ46">
        <v>230</v>
      </c>
      <c r="AR46">
        <v>0</v>
      </c>
      <c r="AS46">
        <v>5</v>
      </c>
      <c r="AT46">
        <v>-7824</v>
      </c>
      <c r="AU46">
        <v>1648</v>
      </c>
      <c r="AV46">
        <v>0</v>
      </c>
      <c r="AW46">
        <v>31</v>
      </c>
      <c r="AX46">
        <v>1</v>
      </c>
      <c r="AY46">
        <v>35</v>
      </c>
      <c r="AZ46">
        <v>0</v>
      </c>
      <c r="BA46">
        <v>0</v>
      </c>
      <c r="BB46">
        <v>5</v>
      </c>
      <c r="BC46">
        <v>2</v>
      </c>
      <c r="BD46">
        <v>0</v>
      </c>
      <c r="BE46">
        <v>1</v>
      </c>
      <c r="BF46">
        <v>0</v>
      </c>
      <c r="BG46">
        <v>10</v>
      </c>
      <c r="BH46">
        <v>0</v>
      </c>
      <c r="BI46">
        <v>4517</v>
      </c>
      <c r="BJ46">
        <v>0</v>
      </c>
      <c r="BK46">
        <v>0</v>
      </c>
      <c r="BL46">
        <v>0</v>
      </c>
      <c r="BM46">
        <v>-3067</v>
      </c>
    </row>
    <row r="47" spans="1:6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-9148</v>
      </c>
      <c r="AV47">
        <v>9148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256</v>
      </c>
      <c r="AH48">
        <v>1</v>
      </c>
      <c r="AI48">
        <v>6</v>
      </c>
      <c r="AJ48">
        <v>0</v>
      </c>
      <c r="AK48">
        <v>227</v>
      </c>
      <c r="AL48">
        <v>0</v>
      </c>
      <c r="AM48">
        <v>433</v>
      </c>
      <c r="AN48">
        <v>3</v>
      </c>
      <c r="AO48">
        <v>96</v>
      </c>
      <c r="AP48">
        <v>2</v>
      </c>
      <c r="AQ48">
        <v>375</v>
      </c>
      <c r="AR48">
        <v>4</v>
      </c>
      <c r="AS48">
        <v>259</v>
      </c>
      <c r="AT48">
        <v>125</v>
      </c>
      <c r="AU48">
        <v>1069</v>
      </c>
      <c r="AV48">
        <v>-9090</v>
      </c>
      <c r="AW48">
        <v>9</v>
      </c>
      <c r="AX48">
        <v>0</v>
      </c>
      <c r="AY48">
        <v>30</v>
      </c>
      <c r="AZ48">
        <v>0</v>
      </c>
      <c r="BA48">
        <v>28</v>
      </c>
      <c r="BB48">
        <v>1</v>
      </c>
      <c r="BC48">
        <v>63</v>
      </c>
      <c r="BD48">
        <v>7</v>
      </c>
      <c r="BE48">
        <v>9</v>
      </c>
      <c r="BF48">
        <v>0</v>
      </c>
      <c r="BG48">
        <v>3</v>
      </c>
      <c r="BH48">
        <v>1</v>
      </c>
      <c r="BI48">
        <v>1</v>
      </c>
      <c r="BJ48">
        <v>3</v>
      </c>
      <c r="BK48">
        <v>6079</v>
      </c>
      <c r="BL48">
        <v>0</v>
      </c>
      <c r="BM48">
        <v>-5582</v>
      </c>
    </row>
    <row r="49" spans="1:65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-74373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-1789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-31843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-157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-20180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-33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-16156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-7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-8734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-64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-8015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-1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-5250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-3</v>
      </c>
      <c r="BK62">
        <v>0</v>
      </c>
      <c r="BL62">
        <v>0</v>
      </c>
      <c r="BM62">
        <v>0</v>
      </c>
    </row>
    <row r="63" spans="1:65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-6079</v>
      </c>
      <c r="BL63">
        <v>0</v>
      </c>
      <c r="BM63">
        <v>0</v>
      </c>
    </row>
    <row r="64" spans="1:65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</row>
    <row r="66" spans="1:65" x14ac:dyDescent="0.2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0.55300000000000005</v>
      </c>
    </row>
    <row r="67" spans="1:65" x14ac:dyDescent="0.25">
      <c r="A67">
        <v>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0.55300000000000005</v>
      </c>
    </row>
    <row r="68" spans="1:65" x14ac:dyDescent="0.25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0.94899999999999995</v>
      </c>
    </row>
    <row r="69" spans="1:65" x14ac:dyDescent="0.25">
      <c r="A69">
        <v>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0.94899999999999995</v>
      </c>
    </row>
    <row r="70" spans="1:65" x14ac:dyDescent="0.25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1.1910000000000001</v>
      </c>
    </row>
    <row r="71" spans="1:6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1.1910000000000001</v>
      </c>
    </row>
    <row r="72" spans="1:65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1.58</v>
      </c>
    </row>
    <row r="73" spans="1:65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1.58</v>
      </c>
    </row>
    <row r="74" spans="1:65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1.4450000000000001</v>
      </c>
    </row>
    <row r="75" spans="1:65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1.4450000000000001</v>
      </c>
    </row>
    <row r="76" spans="1:6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1.871</v>
      </c>
    </row>
    <row r="77" spans="1:65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1.871</v>
      </c>
    </row>
    <row r="78" spans="1:6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2.077</v>
      </c>
    </row>
    <row r="79" spans="1:65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2.077</v>
      </c>
    </row>
    <row r="80" spans="1:6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2.4369999999999998</v>
      </c>
    </row>
    <row r="81" spans="1:65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2.4369999999999998</v>
      </c>
    </row>
    <row r="82" spans="1:6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0.29499999999999998</v>
      </c>
    </row>
    <row r="83" spans="1:6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0.29499999999999998</v>
      </c>
    </row>
    <row r="84" spans="1:6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0.56699999999999995</v>
      </c>
    </row>
    <row r="85" spans="1:6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0.56699999999999995</v>
      </c>
    </row>
    <row r="86" spans="1:6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0.72</v>
      </c>
    </row>
    <row r="87" spans="1:6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0.72</v>
      </c>
    </row>
    <row r="88" spans="1:6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0.98199999999999998</v>
      </c>
    </row>
    <row r="89" spans="1:6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0.98199999999999998</v>
      </c>
    </row>
    <row r="90" spans="1:65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0.996</v>
      </c>
    </row>
    <row r="91" spans="1:6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0.996</v>
      </c>
    </row>
    <row r="92" spans="1:6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1.246</v>
      </c>
    </row>
    <row r="93" spans="1:65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1.246</v>
      </c>
    </row>
    <row r="94" spans="1:6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1.448</v>
      </c>
    </row>
    <row r="95" spans="1:65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1.448</v>
      </c>
    </row>
    <row r="96" spans="1:65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1.6619999999999999</v>
      </c>
    </row>
    <row r="97" spans="1:65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1.6619999999999999</v>
      </c>
    </row>
    <row r="98" spans="1:65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0.114</v>
      </c>
    </row>
    <row r="99" spans="1:65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0.114</v>
      </c>
    </row>
    <row r="100" spans="1:65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0.24299999999999999</v>
      </c>
    </row>
    <row r="101" spans="1:65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0.24299999999999999</v>
      </c>
    </row>
    <row r="102" spans="1:65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0.34100000000000003</v>
      </c>
    </row>
    <row r="103" spans="1:65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0.34100000000000003</v>
      </c>
    </row>
    <row r="104" spans="1:65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0.45900000000000002</v>
      </c>
    </row>
    <row r="105" spans="1:65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0.45900000000000002</v>
      </c>
    </row>
    <row r="106" spans="1:65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0.38400000000000001</v>
      </c>
    </row>
    <row r="107" spans="1:65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0.38400000000000001</v>
      </c>
    </row>
    <row r="108" spans="1:65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0.53700000000000003</v>
      </c>
    </row>
    <row r="109" spans="1:65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0.53700000000000003</v>
      </c>
    </row>
    <row r="110" spans="1:65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0.623</v>
      </c>
    </row>
    <row r="111" spans="1:65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0.623</v>
      </c>
    </row>
    <row r="112" spans="1:65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0.79400000000000004</v>
      </c>
    </row>
    <row r="113" spans="1:65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0.79400000000000004</v>
      </c>
    </row>
    <row r="114" spans="1:65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</row>
    <row r="123" spans="1:65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</row>
    <row r="127" spans="1:65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</row>
    <row r="128" spans="1:65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</row>
    <row r="129" spans="1:65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</row>
    <row r="131" spans="1:65" x14ac:dyDescent="0.25">
      <c r="A131" t="s">
        <v>683</v>
      </c>
    </row>
    <row r="132" spans="1:65" x14ac:dyDescent="0.25">
      <c r="A132" t="s">
        <v>684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</row>
    <row r="133" spans="1:65" x14ac:dyDescent="0.25">
      <c r="A133" t="s">
        <v>685</v>
      </c>
      <c r="B133">
        <v>0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1</v>
      </c>
    </row>
    <row r="134" spans="1:65" x14ac:dyDescent="0.25">
      <c r="A134" t="s">
        <v>686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1</v>
      </c>
      <c r="J134" s="10">
        <v>42607</v>
      </c>
      <c r="K134" s="9"/>
      <c r="L134" s="9"/>
      <c r="M134" s="9"/>
      <c r="N134" s="9"/>
      <c r="O134" s="9"/>
      <c r="P134" s="9"/>
      <c r="Q134" s="9"/>
      <c r="R134" s="9"/>
    </row>
    <row r="135" spans="1:65" x14ac:dyDescent="0.25">
      <c r="A135" t="s">
        <v>687</v>
      </c>
      <c r="B135">
        <v>0.55300000000000005</v>
      </c>
      <c r="C135">
        <v>0.94899999999999995</v>
      </c>
      <c r="D135">
        <v>1.1910000000000001</v>
      </c>
      <c r="E135">
        <v>1.58</v>
      </c>
      <c r="F135">
        <v>1.4450000000000001</v>
      </c>
      <c r="G135">
        <v>1.871</v>
      </c>
      <c r="H135">
        <v>2.077</v>
      </c>
      <c r="I135">
        <v>2.4369999999999998</v>
      </c>
      <c r="J135" s="9"/>
      <c r="K135" s="9">
        <v>0.55300000000000005</v>
      </c>
      <c r="L135" s="9">
        <v>0.95099999999999996</v>
      </c>
      <c r="M135" s="9">
        <v>1.1919999999999999</v>
      </c>
      <c r="N135" s="9">
        <v>1.5820000000000001</v>
      </c>
      <c r="O135" s="9">
        <v>1.446</v>
      </c>
      <c r="P135" s="9">
        <v>1.8720000000000001</v>
      </c>
      <c r="Q135" s="9">
        <v>2.0779999999999998</v>
      </c>
      <c r="R135" s="9">
        <v>2.4390000000000001</v>
      </c>
    </row>
    <row r="136" spans="1:65" x14ac:dyDescent="0.25">
      <c r="A136" t="s">
        <v>688</v>
      </c>
      <c r="B136">
        <v>0.29499999999999998</v>
      </c>
      <c r="C136">
        <v>0.56699999999999995</v>
      </c>
      <c r="D136">
        <v>0.72</v>
      </c>
      <c r="E136">
        <v>0.98199999999999998</v>
      </c>
      <c r="F136">
        <v>0.996</v>
      </c>
      <c r="G136">
        <v>1.246</v>
      </c>
      <c r="H136">
        <v>1.448</v>
      </c>
      <c r="I136">
        <v>1.6619999999999999</v>
      </c>
      <c r="J136" s="9"/>
      <c r="K136" s="9">
        <v>0.29599999999999999</v>
      </c>
      <c r="L136" s="9">
        <v>0.56799999999999995</v>
      </c>
      <c r="M136" s="9">
        <v>0.72099999999999997</v>
      </c>
      <c r="N136" s="9">
        <v>0.98499999999999999</v>
      </c>
      <c r="O136" s="9">
        <v>0.997</v>
      </c>
      <c r="P136" s="9">
        <v>1.248</v>
      </c>
      <c r="Q136" s="9">
        <v>1.45</v>
      </c>
      <c r="R136" s="9">
        <v>1.665</v>
      </c>
    </row>
    <row r="137" spans="1:65" x14ac:dyDescent="0.25">
      <c r="A137" t="s">
        <v>689</v>
      </c>
      <c r="B137">
        <v>0.114</v>
      </c>
      <c r="C137">
        <v>0.24299999999999999</v>
      </c>
      <c r="D137">
        <v>0.34100000000000003</v>
      </c>
      <c r="E137">
        <v>0.45900000000000002</v>
      </c>
      <c r="F137">
        <v>0.38400000000000001</v>
      </c>
      <c r="G137">
        <v>0.53700000000000003</v>
      </c>
      <c r="H137">
        <v>0.623</v>
      </c>
      <c r="I137">
        <v>0.79400000000000004</v>
      </c>
      <c r="J137" s="9"/>
      <c r="K137" s="9">
        <v>0.115</v>
      </c>
      <c r="L137" s="9">
        <v>0.24399999999999999</v>
      </c>
      <c r="M137" s="9">
        <v>0.34200000000000003</v>
      </c>
      <c r="N137" s="9">
        <v>0.46400000000000002</v>
      </c>
      <c r="O137" s="9">
        <v>0.38500000000000001</v>
      </c>
      <c r="P137" s="9">
        <v>0.53800000000000003</v>
      </c>
      <c r="Q137" s="9">
        <v>0.624</v>
      </c>
      <c r="R137" s="9">
        <v>0.8</v>
      </c>
    </row>
    <row r="138" spans="1:65" x14ac:dyDescent="0.25">
      <c r="A138" t="s">
        <v>690</v>
      </c>
      <c r="J138" s="9"/>
      <c r="K138" s="9"/>
      <c r="L138" s="9"/>
      <c r="M138" s="9"/>
      <c r="N138" s="9"/>
      <c r="O138" s="9"/>
      <c r="P138" s="9"/>
      <c r="Q138" s="9"/>
      <c r="R138" s="9"/>
    </row>
    <row r="139" spans="1:65" x14ac:dyDescent="0.25">
      <c r="A139" t="s">
        <v>684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 s="9"/>
      <c r="K139" s="9"/>
      <c r="L139" s="9"/>
      <c r="M139" s="9"/>
      <c r="N139" s="9"/>
      <c r="O139" s="9"/>
      <c r="P139" s="9"/>
      <c r="Q139" s="9"/>
      <c r="R139" s="9"/>
    </row>
    <row r="140" spans="1:65" x14ac:dyDescent="0.25">
      <c r="A140" t="s">
        <v>685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1</v>
      </c>
      <c r="J140" s="9"/>
      <c r="K140" s="9"/>
      <c r="L140" s="9"/>
      <c r="M140" s="9"/>
      <c r="N140" s="9"/>
      <c r="O140" s="9"/>
      <c r="P140" s="9"/>
      <c r="Q140" s="9"/>
      <c r="R140" s="9"/>
    </row>
    <row r="141" spans="1:65" x14ac:dyDescent="0.25">
      <c r="A141" t="s">
        <v>686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1</v>
      </c>
      <c r="J141" s="9"/>
      <c r="K141" s="9"/>
      <c r="L141" s="9"/>
      <c r="M141" s="9"/>
      <c r="N141" s="9"/>
      <c r="O141" s="9"/>
      <c r="P141" s="9"/>
      <c r="Q141" s="9"/>
      <c r="R141" s="9"/>
    </row>
    <row r="142" spans="1:65" x14ac:dyDescent="0.25">
      <c r="A142" t="s">
        <v>687</v>
      </c>
      <c r="B142">
        <v>0.55500000000000005</v>
      </c>
      <c r="C142">
        <v>0.95299999999999996</v>
      </c>
      <c r="D142">
        <v>1.1890000000000001</v>
      </c>
      <c r="E142">
        <v>1.573</v>
      </c>
      <c r="F142">
        <v>1.482</v>
      </c>
      <c r="G142">
        <v>1.9039999999999999</v>
      </c>
      <c r="H142">
        <v>2.052</v>
      </c>
      <c r="I142">
        <v>2.4169999999999998</v>
      </c>
      <c r="J142" s="9"/>
      <c r="K142" s="9">
        <v>0.55500000000000005</v>
      </c>
      <c r="L142" s="9">
        <v>0.95299999999999996</v>
      </c>
      <c r="M142" s="9">
        <v>1.1890000000000001</v>
      </c>
      <c r="N142" s="9">
        <v>1.573</v>
      </c>
      <c r="O142" s="9">
        <v>1.482</v>
      </c>
      <c r="P142" s="9">
        <v>1.9039999999999999</v>
      </c>
      <c r="Q142" s="9">
        <v>2.052</v>
      </c>
      <c r="R142" s="9">
        <v>2.4169999999999998</v>
      </c>
    </row>
    <row r="143" spans="1:65" x14ac:dyDescent="0.25">
      <c r="A143" t="s">
        <v>688</v>
      </c>
      <c r="B143">
        <v>0.29699999999999999</v>
      </c>
      <c r="C143">
        <v>0.57299999999999995</v>
      </c>
      <c r="D143">
        <v>0.72499999999999998</v>
      </c>
      <c r="E143">
        <v>0.97099999999999997</v>
      </c>
      <c r="F143">
        <v>0.98299999999999998</v>
      </c>
      <c r="G143">
        <v>1.2430000000000001</v>
      </c>
      <c r="H143">
        <v>1.4670000000000001</v>
      </c>
      <c r="I143">
        <v>1.65</v>
      </c>
      <c r="J143" s="9"/>
      <c r="K143" s="9">
        <v>0.29699999999999999</v>
      </c>
      <c r="L143" s="9">
        <v>0.57299999999999995</v>
      </c>
      <c r="M143" s="9">
        <v>0.72499999999999998</v>
      </c>
      <c r="N143" s="9">
        <v>0.97099999999999997</v>
      </c>
      <c r="O143" s="9">
        <v>0.98299999999999998</v>
      </c>
      <c r="P143" s="9">
        <v>1.2430000000000001</v>
      </c>
      <c r="Q143" s="9">
        <v>1.4670000000000001</v>
      </c>
      <c r="R143" s="9">
        <v>1.65</v>
      </c>
    </row>
    <row r="144" spans="1:65" x14ac:dyDescent="0.25">
      <c r="A144" t="s">
        <v>689</v>
      </c>
      <c r="B144">
        <v>0.11700000000000001</v>
      </c>
      <c r="C144">
        <v>0.251</v>
      </c>
      <c r="D144">
        <v>0.34399999999999997</v>
      </c>
      <c r="E144">
        <v>0.46600000000000003</v>
      </c>
      <c r="F144">
        <v>0.38700000000000001</v>
      </c>
      <c r="G144">
        <v>0.53800000000000003</v>
      </c>
      <c r="H144">
        <v>0.63400000000000001</v>
      </c>
      <c r="I144">
        <v>0.81499999999999995</v>
      </c>
      <c r="J144" s="9"/>
      <c r="K144" s="9">
        <v>0.11700000000000001</v>
      </c>
      <c r="L144" s="9">
        <v>0.251</v>
      </c>
      <c r="M144" s="9">
        <v>0.34399999999999997</v>
      </c>
      <c r="N144" s="9">
        <v>0.46600000000000003</v>
      </c>
      <c r="O144" s="9">
        <v>0.38700000000000001</v>
      </c>
      <c r="P144" s="9">
        <v>0.53800000000000003</v>
      </c>
      <c r="Q144" s="9">
        <v>0.63400000000000001</v>
      </c>
      <c r="R144" s="9">
        <v>0.81499999999999995</v>
      </c>
    </row>
    <row r="145" spans="1:18" x14ac:dyDescent="0.25">
      <c r="J145" s="9"/>
      <c r="K145" s="9"/>
      <c r="L145" s="9"/>
      <c r="M145" s="9"/>
      <c r="N145" s="9"/>
      <c r="O145" s="9"/>
      <c r="P145" s="9"/>
      <c r="Q145" s="9"/>
      <c r="R145" s="9"/>
    </row>
    <row r="146" spans="1:18" x14ac:dyDescent="0.25">
      <c r="A146" t="str">
        <f t="shared" ref="A146:A151" si="0">A139</f>
        <v>Runner 3rd</v>
      </c>
      <c r="B146">
        <f t="shared" ref="B146:I148" si="1">B139</f>
        <v>0</v>
      </c>
      <c r="C146">
        <f t="shared" si="1"/>
        <v>0</v>
      </c>
      <c r="D146">
        <f t="shared" si="1"/>
        <v>0</v>
      </c>
      <c r="E146">
        <f t="shared" si="1"/>
        <v>0</v>
      </c>
      <c r="F146">
        <f t="shared" si="1"/>
        <v>1</v>
      </c>
      <c r="G146">
        <f t="shared" si="1"/>
        <v>1</v>
      </c>
      <c r="H146">
        <f t="shared" si="1"/>
        <v>1</v>
      </c>
      <c r="I146">
        <f t="shared" si="1"/>
        <v>1</v>
      </c>
      <c r="J146" s="9"/>
      <c r="K146" s="9"/>
      <c r="L146" s="9"/>
      <c r="M146" s="9"/>
      <c r="N146" s="9"/>
      <c r="O146" s="9"/>
      <c r="P146" s="9"/>
      <c r="Q146" s="9"/>
      <c r="R146" s="9"/>
    </row>
    <row r="147" spans="1:18" x14ac:dyDescent="0.25">
      <c r="A147" t="str">
        <f t="shared" si="0"/>
        <v>Runner 2nd</v>
      </c>
      <c r="B147">
        <f t="shared" si="1"/>
        <v>0</v>
      </c>
      <c r="C147">
        <f t="shared" si="1"/>
        <v>0</v>
      </c>
      <c r="D147">
        <f t="shared" si="1"/>
        <v>1</v>
      </c>
      <c r="E147">
        <f t="shared" si="1"/>
        <v>1</v>
      </c>
      <c r="F147">
        <f t="shared" si="1"/>
        <v>0</v>
      </c>
      <c r="G147">
        <f t="shared" si="1"/>
        <v>0</v>
      </c>
      <c r="H147">
        <f t="shared" si="1"/>
        <v>1</v>
      </c>
      <c r="I147">
        <f t="shared" si="1"/>
        <v>1</v>
      </c>
      <c r="J147" s="9"/>
      <c r="K147" s="9"/>
      <c r="L147" s="9"/>
      <c r="M147" s="9"/>
      <c r="N147" s="9"/>
      <c r="O147" s="9"/>
      <c r="P147" s="9"/>
      <c r="Q147" s="9"/>
      <c r="R147" s="9"/>
    </row>
    <row r="148" spans="1:18" x14ac:dyDescent="0.25">
      <c r="A148" t="str">
        <f t="shared" si="0"/>
        <v>Runner 1st</v>
      </c>
      <c r="B148">
        <f t="shared" si="1"/>
        <v>0</v>
      </c>
      <c r="C148">
        <f t="shared" si="1"/>
        <v>1</v>
      </c>
      <c r="D148">
        <f t="shared" si="1"/>
        <v>0</v>
      </c>
      <c r="E148">
        <f t="shared" si="1"/>
        <v>1</v>
      </c>
      <c r="F148">
        <f t="shared" si="1"/>
        <v>0</v>
      </c>
      <c r="G148">
        <f t="shared" si="1"/>
        <v>1</v>
      </c>
      <c r="H148">
        <f t="shared" si="1"/>
        <v>0</v>
      </c>
      <c r="I148">
        <f t="shared" si="1"/>
        <v>1</v>
      </c>
      <c r="J148" s="9"/>
      <c r="K148" s="9"/>
      <c r="L148" s="9"/>
      <c r="M148" s="9"/>
      <c r="N148" s="9"/>
      <c r="O148" s="9"/>
      <c r="P148" s="9"/>
      <c r="Q148" s="9"/>
      <c r="R148" s="9"/>
    </row>
    <row r="149" spans="1:18" x14ac:dyDescent="0.25">
      <c r="A149" t="str">
        <f t="shared" si="0"/>
        <v>0 Out</v>
      </c>
      <c r="B149" s="2">
        <f t="shared" ref="B149:I151" si="2">B135-B142</f>
        <v>-2.0000000000000018E-3</v>
      </c>
      <c r="C149" s="2">
        <f t="shared" si="2"/>
        <v>-4.0000000000000036E-3</v>
      </c>
      <c r="D149" s="2">
        <f t="shared" si="2"/>
        <v>2.0000000000000018E-3</v>
      </c>
      <c r="E149" s="2">
        <f t="shared" si="2"/>
        <v>7.0000000000001172E-3</v>
      </c>
      <c r="F149" s="2">
        <f t="shared" si="2"/>
        <v>-3.6999999999999922E-2</v>
      </c>
      <c r="G149" s="2">
        <f t="shared" si="2"/>
        <v>-3.2999999999999918E-2</v>
      </c>
      <c r="H149" s="2">
        <f t="shared" si="2"/>
        <v>2.4999999999999911E-2</v>
      </c>
      <c r="I149" s="2">
        <f t="shared" si="2"/>
        <v>2.0000000000000018E-2</v>
      </c>
      <c r="J149" s="9"/>
      <c r="K149" s="11">
        <f t="shared" ref="K149:R149" si="3">K135-K142</f>
        <v>-2.0000000000000018E-3</v>
      </c>
      <c r="L149" s="11">
        <f t="shared" si="3"/>
        <v>-2.0000000000000018E-3</v>
      </c>
      <c r="M149" s="11">
        <f t="shared" si="3"/>
        <v>2.9999999999998916E-3</v>
      </c>
      <c r="N149" s="11">
        <f t="shared" si="3"/>
        <v>9.000000000000119E-3</v>
      </c>
      <c r="O149" s="11">
        <f t="shared" si="3"/>
        <v>-3.6000000000000032E-2</v>
      </c>
      <c r="P149" s="11">
        <f t="shared" si="3"/>
        <v>-3.1999999999999806E-2</v>
      </c>
      <c r="Q149" s="11">
        <f t="shared" si="3"/>
        <v>2.5999999999999801E-2</v>
      </c>
      <c r="R149" s="11">
        <f t="shared" si="3"/>
        <v>2.2000000000000242E-2</v>
      </c>
    </row>
    <row r="150" spans="1:18" x14ac:dyDescent="0.25">
      <c r="A150" t="str">
        <f t="shared" si="0"/>
        <v>1 Out</v>
      </c>
      <c r="B150" s="2">
        <f t="shared" si="2"/>
        <v>-2.0000000000000018E-3</v>
      </c>
      <c r="C150" s="2">
        <f t="shared" si="2"/>
        <v>-6.0000000000000053E-3</v>
      </c>
      <c r="D150" s="2">
        <f t="shared" si="2"/>
        <v>-5.0000000000000044E-3</v>
      </c>
      <c r="E150" s="2">
        <f t="shared" si="2"/>
        <v>1.100000000000001E-2</v>
      </c>
      <c r="F150" s="2">
        <f t="shared" si="2"/>
        <v>1.3000000000000012E-2</v>
      </c>
      <c r="G150" s="2">
        <f t="shared" si="2"/>
        <v>2.9999999999998916E-3</v>
      </c>
      <c r="H150" s="2">
        <f t="shared" si="2"/>
        <v>-1.9000000000000128E-2</v>
      </c>
      <c r="I150" s="2">
        <f t="shared" si="2"/>
        <v>1.2000000000000011E-2</v>
      </c>
      <c r="J150" s="9"/>
      <c r="K150" s="11">
        <f t="shared" ref="K150:R150" si="4">K136-K143</f>
        <v>-1.0000000000000009E-3</v>
      </c>
      <c r="L150" s="11">
        <f t="shared" si="4"/>
        <v>-5.0000000000000044E-3</v>
      </c>
      <c r="M150" s="11">
        <f t="shared" si="4"/>
        <v>-4.0000000000000036E-3</v>
      </c>
      <c r="N150" s="11">
        <f t="shared" si="4"/>
        <v>1.4000000000000012E-2</v>
      </c>
      <c r="O150" s="11">
        <f t="shared" si="4"/>
        <v>1.4000000000000012E-2</v>
      </c>
      <c r="P150" s="11">
        <f t="shared" si="4"/>
        <v>4.9999999999998934E-3</v>
      </c>
      <c r="Q150" s="11">
        <f t="shared" si="4"/>
        <v>-1.7000000000000126E-2</v>
      </c>
      <c r="R150" s="11">
        <f t="shared" si="4"/>
        <v>1.5000000000000124E-2</v>
      </c>
    </row>
    <row r="151" spans="1:18" x14ac:dyDescent="0.25">
      <c r="A151" t="str">
        <f t="shared" si="0"/>
        <v>2 Out</v>
      </c>
      <c r="B151" s="2">
        <f t="shared" si="2"/>
        <v>-3.0000000000000027E-3</v>
      </c>
      <c r="C151" s="2">
        <f t="shared" si="2"/>
        <v>-8.0000000000000071E-3</v>
      </c>
      <c r="D151" s="2">
        <f t="shared" si="2"/>
        <v>-2.9999999999999472E-3</v>
      </c>
      <c r="E151" s="2">
        <f t="shared" si="2"/>
        <v>-7.0000000000000062E-3</v>
      </c>
      <c r="F151" s="2">
        <f t="shared" si="2"/>
        <v>-3.0000000000000027E-3</v>
      </c>
      <c r="G151" s="2">
        <f t="shared" si="2"/>
        <v>-1.0000000000000009E-3</v>
      </c>
      <c r="H151" s="2">
        <f t="shared" si="2"/>
        <v>-1.100000000000001E-2</v>
      </c>
      <c r="I151" s="2">
        <f t="shared" si="2"/>
        <v>-2.0999999999999908E-2</v>
      </c>
      <c r="J151" s="9"/>
      <c r="K151" s="11">
        <f t="shared" ref="K151:R151" si="5">K137-K144</f>
        <v>-2.0000000000000018E-3</v>
      </c>
      <c r="L151" s="11">
        <f t="shared" si="5"/>
        <v>-7.0000000000000062E-3</v>
      </c>
      <c r="M151" s="11">
        <f t="shared" si="5"/>
        <v>-1.9999999999999463E-3</v>
      </c>
      <c r="N151" s="11">
        <f t="shared" si="5"/>
        <v>-2.0000000000000018E-3</v>
      </c>
      <c r="O151" s="11">
        <f t="shared" si="5"/>
        <v>-2.0000000000000018E-3</v>
      </c>
      <c r="P151" s="11">
        <f t="shared" si="5"/>
        <v>0</v>
      </c>
      <c r="Q151" s="11">
        <f t="shared" si="5"/>
        <v>-1.0000000000000009E-2</v>
      </c>
      <c r="R151" s="11">
        <f t="shared" si="5"/>
        <v>-1.4999999999999902E-2</v>
      </c>
    </row>
    <row r="152" spans="1:18" x14ac:dyDescent="0.25">
      <c r="J152" s="9"/>
      <c r="K152" s="9"/>
      <c r="L152" s="9"/>
      <c r="M152" s="9"/>
      <c r="N152" s="9"/>
      <c r="O152" s="9"/>
      <c r="P152" s="9"/>
      <c r="Q152" s="9"/>
      <c r="R152" s="9"/>
    </row>
    <row r="153" spans="1:18" x14ac:dyDescent="0.25">
      <c r="A153" t="str">
        <f t="shared" ref="A153:A158" si="6">A146</f>
        <v>Runner 3rd</v>
      </c>
      <c r="B153">
        <f t="shared" ref="B153:I155" si="7">B146</f>
        <v>0</v>
      </c>
      <c r="C153">
        <f t="shared" si="7"/>
        <v>0</v>
      </c>
      <c r="D153">
        <f t="shared" si="7"/>
        <v>0</v>
      </c>
      <c r="E153">
        <f t="shared" si="7"/>
        <v>0</v>
      </c>
      <c r="F153">
        <f t="shared" si="7"/>
        <v>1</v>
      </c>
      <c r="G153">
        <f t="shared" si="7"/>
        <v>1</v>
      </c>
      <c r="H153">
        <f t="shared" si="7"/>
        <v>1</v>
      </c>
      <c r="I153">
        <f t="shared" si="7"/>
        <v>1</v>
      </c>
      <c r="J153" s="9"/>
      <c r="K153" s="9"/>
      <c r="L153" s="9"/>
      <c r="M153" s="9"/>
      <c r="N153" s="9"/>
      <c r="O153" s="9"/>
      <c r="P153" s="9"/>
      <c r="Q153" s="9"/>
      <c r="R153" s="9"/>
    </row>
    <row r="154" spans="1:18" x14ac:dyDescent="0.25">
      <c r="A154" t="str">
        <f t="shared" si="6"/>
        <v>Runner 2nd</v>
      </c>
      <c r="B154">
        <f t="shared" si="7"/>
        <v>0</v>
      </c>
      <c r="C154">
        <f t="shared" si="7"/>
        <v>0</v>
      </c>
      <c r="D154">
        <f t="shared" si="7"/>
        <v>1</v>
      </c>
      <c r="E154">
        <f t="shared" si="7"/>
        <v>1</v>
      </c>
      <c r="F154">
        <f t="shared" si="7"/>
        <v>0</v>
      </c>
      <c r="G154">
        <f t="shared" si="7"/>
        <v>0</v>
      </c>
      <c r="H154">
        <f t="shared" si="7"/>
        <v>1</v>
      </c>
      <c r="I154">
        <f t="shared" si="7"/>
        <v>1</v>
      </c>
      <c r="J154" s="9"/>
      <c r="K154" s="9"/>
      <c r="L154" s="9"/>
      <c r="M154" s="9"/>
      <c r="N154" s="9"/>
      <c r="O154" s="9"/>
      <c r="P154" s="9"/>
      <c r="Q154" s="9"/>
      <c r="R154" s="9"/>
    </row>
    <row r="155" spans="1:18" x14ac:dyDescent="0.25">
      <c r="A155" t="str">
        <f t="shared" si="6"/>
        <v>Runner 1st</v>
      </c>
      <c r="B155">
        <f t="shared" si="7"/>
        <v>0</v>
      </c>
      <c r="C155">
        <f t="shared" si="7"/>
        <v>1</v>
      </c>
      <c r="D155">
        <f t="shared" si="7"/>
        <v>0</v>
      </c>
      <c r="E155">
        <f t="shared" si="7"/>
        <v>1</v>
      </c>
      <c r="F155">
        <f t="shared" si="7"/>
        <v>0</v>
      </c>
      <c r="G155">
        <f t="shared" si="7"/>
        <v>1</v>
      </c>
      <c r="H155">
        <f t="shared" si="7"/>
        <v>0</v>
      </c>
      <c r="I155">
        <f t="shared" si="7"/>
        <v>1</v>
      </c>
      <c r="J155" s="9"/>
      <c r="K155" s="9"/>
      <c r="L155" s="9"/>
      <c r="M155" s="9"/>
      <c r="N155" s="9"/>
      <c r="O155" s="9"/>
      <c r="P155" s="9"/>
      <c r="Q155" s="9"/>
      <c r="R155" s="9"/>
    </row>
    <row r="156" spans="1:18" x14ac:dyDescent="0.25">
      <c r="A156" t="str">
        <f t="shared" si="6"/>
        <v>0 Out</v>
      </c>
      <c r="B156" s="6">
        <f t="shared" ref="B156:I158" si="8">B149/B142</f>
        <v>-3.6036036036036067E-3</v>
      </c>
      <c r="C156" s="6">
        <f t="shared" si="8"/>
        <v>-4.1972717733473278E-3</v>
      </c>
      <c r="D156" s="6">
        <f t="shared" si="8"/>
        <v>1.6820857863751066E-3</v>
      </c>
      <c r="E156" s="6">
        <f t="shared" si="8"/>
        <v>4.4500953591863433E-3</v>
      </c>
      <c r="F156" s="6">
        <f t="shared" si="8"/>
        <v>-2.4966261808367019E-2</v>
      </c>
      <c r="G156" s="6">
        <f t="shared" si="8"/>
        <v>-1.7331932773109203E-2</v>
      </c>
      <c r="H156" s="6">
        <f t="shared" si="8"/>
        <v>1.218323586744635E-2</v>
      </c>
      <c r="I156" s="6">
        <f t="shared" si="8"/>
        <v>8.2747207281754324E-3</v>
      </c>
      <c r="J156" s="9"/>
      <c r="K156" s="12">
        <f t="shared" ref="K156:R156" si="9">K149/K142</f>
        <v>-3.6036036036036067E-3</v>
      </c>
      <c r="L156" s="12">
        <f t="shared" si="9"/>
        <v>-2.0986358866736639E-3</v>
      </c>
      <c r="M156" s="12">
        <f t="shared" si="9"/>
        <v>2.5231286795625663E-3</v>
      </c>
      <c r="N156" s="12">
        <f t="shared" si="9"/>
        <v>5.7215511760967067E-3</v>
      </c>
      <c r="O156" s="12">
        <f t="shared" si="9"/>
        <v>-2.4291497975708523E-2</v>
      </c>
      <c r="P156" s="12">
        <f t="shared" si="9"/>
        <v>-1.6806722689075529E-2</v>
      </c>
      <c r="Q156" s="12">
        <f t="shared" si="9"/>
        <v>1.2670565302144152E-2</v>
      </c>
      <c r="R156" s="12">
        <f t="shared" si="9"/>
        <v>9.1021928009930673E-3</v>
      </c>
    </row>
    <row r="157" spans="1:18" x14ac:dyDescent="0.25">
      <c r="A157" t="str">
        <f t="shared" si="6"/>
        <v>1 Out</v>
      </c>
      <c r="B157" s="6">
        <f t="shared" si="8"/>
        <v>-6.7340067340067407E-3</v>
      </c>
      <c r="C157" s="6">
        <f t="shared" si="8"/>
        <v>-1.0471204188481685E-2</v>
      </c>
      <c r="D157" s="6">
        <f t="shared" si="8"/>
        <v>-6.896551724137937E-3</v>
      </c>
      <c r="E157" s="6">
        <f t="shared" si="8"/>
        <v>1.1328527291452121E-2</v>
      </c>
      <c r="F157" s="6">
        <f t="shared" si="8"/>
        <v>1.3224821973550368E-2</v>
      </c>
      <c r="G157" s="6">
        <f t="shared" si="8"/>
        <v>2.4135156878518837E-3</v>
      </c>
      <c r="H157" s="6">
        <f t="shared" si="8"/>
        <v>-1.295160190865721E-2</v>
      </c>
      <c r="I157" s="6">
        <f t="shared" si="8"/>
        <v>7.2727272727272797E-3</v>
      </c>
      <c r="J157" s="9"/>
      <c r="K157" s="12">
        <f t="shared" ref="K157:R157" si="10">K150/K143</f>
        <v>-3.3670033670033703E-3</v>
      </c>
      <c r="L157" s="12">
        <f t="shared" si="10"/>
        <v>-8.7260034904014048E-3</v>
      </c>
      <c r="M157" s="12">
        <f t="shared" si="10"/>
        <v>-5.5172413793103496E-3</v>
      </c>
      <c r="N157" s="12">
        <f t="shared" si="10"/>
        <v>1.4418125643666336E-2</v>
      </c>
      <c r="O157" s="12">
        <f t="shared" si="10"/>
        <v>1.4242115971515781E-2</v>
      </c>
      <c r="P157" s="12">
        <f t="shared" si="10"/>
        <v>4.022526146419866E-3</v>
      </c>
      <c r="Q157" s="12">
        <f t="shared" si="10"/>
        <v>-1.1588275391956459E-2</v>
      </c>
      <c r="R157" s="12">
        <f t="shared" si="10"/>
        <v>9.0909090909091668E-3</v>
      </c>
    </row>
    <row r="158" spans="1:18" x14ac:dyDescent="0.25">
      <c r="A158" t="str">
        <f t="shared" si="6"/>
        <v>2 Out</v>
      </c>
      <c r="B158" s="6">
        <f t="shared" si="8"/>
        <v>-2.5641025641025661E-2</v>
      </c>
      <c r="C158" s="6">
        <f t="shared" si="8"/>
        <v>-3.187250996015939E-2</v>
      </c>
      <c r="D158" s="6">
        <f t="shared" si="8"/>
        <v>-8.7209302325579868E-3</v>
      </c>
      <c r="E158" s="6">
        <f t="shared" si="8"/>
        <v>-1.5021459227467823E-2</v>
      </c>
      <c r="F158" s="6">
        <f t="shared" si="8"/>
        <v>-7.7519379844961309E-3</v>
      </c>
      <c r="G158" s="6">
        <f t="shared" si="8"/>
        <v>-1.8587360594795553E-3</v>
      </c>
      <c r="H158" s="6">
        <f t="shared" si="8"/>
        <v>-1.7350157728706638E-2</v>
      </c>
      <c r="I158" s="6">
        <f t="shared" si="8"/>
        <v>-2.5766871165644061E-2</v>
      </c>
      <c r="J158" s="9"/>
      <c r="K158" s="12">
        <f t="shared" ref="K158:R158" si="11">K151/K144</f>
        <v>-1.709401709401711E-2</v>
      </c>
      <c r="L158" s="12">
        <f t="shared" si="11"/>
        <v>-2.7888446215139466E-2</v>
      </c>
      <c r="M158" s="12">
        <f t="shared" si="11"/>
        <v>-5.8139534883719377E-3</v>
      </c>
      <c r="N158" s="12">
        <f t="shared" si="11"/>
        <v>-4.2918454935622352E-3</v>
      </c>
      <c r="O158" s="12">
        <f t="shared" si="11"/>
        <v>-5.1679586563307539E-3</v>
      </c>
      <c r="P158" s="12">
        <f t="shared" si="11"/>
        <v>0</v>
      </c>
      <c r="Q158" s="12">
        <f t="shared" si="11"/>
        <v>-1.5772870662460581E-2</v>
      </c>
      <c r="R158" s="12">
        <f t="shared" si="11"/>
        <v>-1.8404907975460003E-2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27" workbookViewId="0">
      <selection activeCell="H51" sqref="H51"/>
    </sheetView>
  </sheetViews>
  <sheetFormatPr defaultRowHeight="15" x14ac:dyDescent="0.25"/>
  <sheetData>
    <row r="1" spans="1:28" x14ac:dyDescent="0.25">
      <c r="A1" t="s">
        <v>29</v>
      </c>
      <c r="B1">
        <f>SUM(B3:B6)</f>
        <v>120</v>
      </c>
      <c r="C1">
        <f>SUM(C3:C6)</f>
        <v>4877</v>
      </c>
      <c r="E1">
        <f>AVERAGE(E3:E6)</f>
        <v>4.9049999999999994</v>
      </c>
      <c r="F1">
        <f>SUM(F3:F6)</f>
        <v>19424</v>
      </c>
      <c r="G1">
        <f t="shared" ref="G1:AB1" si="0">AVERAGE(G3:G6)</f>
        <v>38.792500000000004</v>
      </c>
      <c r="H1">
        <f t="shared" si="0"/>
        <v>34.302499999999995</v>
      </c>
      <c r="I1">
        <f t="shared" si="0"/>
        <v>4.9049999999999994</v>
      </c>
      <c r="J1">
        <f t="shared" si="0"/>
        <v>9.1474999999999991</v>
      </c>
      <c r="K1">
        <f t="shared" si="0"/>
        <v>1.8074999999999999</v>
      </c>
      <c r="L1">
        <f t="shared" si="0"/>
        <v>0.1925</v>
      </c>
      <c r="M1">
        <f t="shared" si="0"/>
        <v>1.1174999999999999</v>
      </c>
      <c r="N1">
        <f t="shared" si="0"/>
        <v>4.6675000000000004</v>
      </c>
      <c r="O1">
        <f t="shared" si="0"/>
        <v>0.62749999999999995</v>
      </c>
      <c r="P1">
        <f t="shared" si="0"/>
        <v>0.28250000000000003</v>
      </c>
      <c r="Q1">
        <f t="shared" si="0"/>
        <v>3.5074999999999998</v>
      </c>
      <c r="R1">
        <f t="shared" si="0"/>
        <v>6.5</v>
      </c>
      <c r="S1">
        <f t="shared" si="0"/>
        <v>0.26650000000000001</v>
      </c>
      <c r="T1">
        <f t="shared" si="0"/>
        <v>0.33825</v>
      </c>
      <c r="U1">
        <f t="shared" si="0"/>
        <v>0.42874999999999996</v>
      </c>
      <c r="V1">
        <f t="shared" si="0"/>
        <v>0.76675000000000004</v>
      </c>
      <c r="W1">
        <f t="shared" si="0"/>
        <v>14.700000000000001</v>
      </c>
      <c r="X1">
        <f t="shared" si="0"/>
        <v>0.78249999999999997</v>
      </c>
      <c r="Y1">
        <f t="shared" si="0"/>
        <v>0.35000000000000003</v>
      </c>
      <c r="Z1">
        <f t="shared" si="0"/>
        <v>0.33500000000000002</v>
      </c>
      <c r="AA1">
        <f t="shared" si="0"/>
        <v>0.29749999999999999</v>
      </c>
      <c r="AB1">
        <f t="shared" si="0"/>
        <v>0.26500000000000001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>
        <v>2002</v>
      </c>
      <c r="B3">
        <v>30</v>
      </c>
      <c r="C3">
        <v>1218</v>
      </c>
      <c r="D3">
        <v>29.2</v>
      </c>
      <c r="E3">
        <v>4.62</v>
      </c>
      <c r="F3">
        <v>4852</v>
      </c>
      <c r="G3">
        <v>38.46</v>
      </c>
      <c r="H3">
        <v>34.130000000000003</v>
      </c>
      <c r="I3">
        <v>4.62</v>
      </c>
      <c r="J3">
        <v>8.92</v>
      </c>
      <c r="K3">
        <v>1.79</v>
      </c>
      <c r="L3">
        <v>0.19</v>
      </c>
      <c r="M3">
        <v>1.04</v>
      </c>
      <c r="N3">
        <v>4.4000000000000004</v>
      </c>
      <c r="O3">
        <v>0.56999999999999995</v>
      </c>
      <c r="P3">
        <v>0.26</v>
      </c>
      <c r="Q3">
        <v>3.35</v>
      </c>
      <c r="R3">
        <v>6.47</v>
      </c>
      <c r="S3">
        <v>0.26100000000000001</v>
      </c>
      <c r="T3">
        <v>0.33100000000000002</v>
      </c>
      <c r="U3">
        <v>0.41699999999999998</v>
      </c>
      <c r="V3">
        <v>0.748</v>
      </c>
      <c r="W3">
        <v>14.22</v>
      </c>
      <c r="X3">
        <v>0.79</v>
      </c>
      <c r="Y3">
        <v>0.36</v>
      </c>
      <c r="Z3">
        <v>0.34</v>
      </c>
      <c r="AA3">
        <v>0.28999999999999998</v>
      </c>
      <c r="AB3">
        <v>0.3</v>
      </c>
    </row>
    <row r="4" spans="1:28" x14ac:dyDescent="0.25">
      <c r="A4">
        <v>2001</v>
      </c>
      <c r="B4">
        <v>30</v>
      </c>
      <c r="C4">
        <v>1220</v>
      </c>
      <c r="D4">
        <v>29.1</v>
      </c>
      <c r="E4">
        <v>4.78</v>
      </c>
      <c r="F4">
        <v>4858</v>
      </c>
      <c r="G4">
        <v>38.49</v>
      </c>
      <c r="H4">
        <v>34.22</v>
      </c>
      <c r="I4">
        <v>4.78</v>
      </c>
      <c r="J4">
        <v>9.0299999999999994</v>
      </c>
      <c r="K4">
        <v>1.81</v>
      </c>
      <c r="L4">
        <v>0.19</v>
      </c>
      <c r="M4">
        <v>1.1200000000000001</v>
      </c>
      <c r="N4">
        <v>4.55</v>
      </c>
      <c r="O4">
        <v>0.64</v>
      </c>
      <c r="P4">
        <v>0.28999999999999998</v>
      </c>
      <c r="Q4">
        <v>3.25</v>
      </c>
      <c r="R4">
        <v>6.67</v>
      </c>
      <c r="S4">
        <v>0.26400000000000001</v>
      </c>
      <c r="T4">
        <v>0.33200000000000002</v>
      </c>
      <c r="U4">
        <v>0.42699999999999999</v>
      </c>
      <c r="V4">
        <v>0.75900000000000001</v>
      </c>
      <c r="W4">
        <v>14.6</v>
      </c>
      <c r="X4">
        <v>0.75</v>
      </c>
      <c r="Y4">
        <v>0.39</v>
      </c>
      <c r="Z4">
        <v>0.33</v>
      </c>
      <c r="AA4">
        <v>0.28999999999999998</v>
      </c>
      <c r="AB4">
        <v>0.28000000000000003</v>
      </c>
    </row>
    <row r="5" spans="1:28" x14ac:dyDescent="0.25">
      <c r="A5">
        <v>2000</v>
      </c>
      <c r="B5">
        <v>30</v>
      </c>
      <c r="C5">
        <v>1230</v>
      </c>
      <c r="D5">
        <v>29.1</v>
      </c>
      <c r="E5">
        <v>5.14</v>
      </c>
      <c r="F5">
        <v>4858</v>
      </c>
      <c r="G5">
        <v>39.159999999999997</v>
      </c>
      <c r="H5">
        <v>34.44</v>
      </c>
      <c r="I5">
        <v>5.14</v>
      </c>
      <c r="J5">
        <v>9.31</v>
      </c>
      <c r="K5">
        <v>1.83</v>
      </c>
      <c r="L5">
        <v>0.2</v>
      </c>
      <c r="M5">
        <v>1.17</v>
      </c>
      <c r="N5">
        <v>4.8899999999999997</v>
      </c>
      <c r="O5">
        <v>0.6</v>
      </c>
      <c r="P5">
        <v>0.27</v>
      </c>
      <c r="Q5">
        <v>3.75</v>
      </c>
      <c r="R5">
        <v>6.45</v>
      </c>
      <c r="S5">
        <v>0.27</v>
      </c>
      <c r="T5">
        <v>0.34499999999999997</v>
      </c>
      <c r="U5">
        <v>0.437</v>
      </c>
      <c r="V5">
        <v>0.78200000000000003</v>
      </c>
      <c r="W5">
        <v>15.05</v>
      </c>
      <c r="X5">
        <v>0.8</v>
      </c>
      <c r="Y5">
        <v>0.32</v>
      </c>
      <c r="Z5">
        <v>0.34</v>
      </c>
      <c r="AA5">
        <v>0.31</v>
      </c>
      <c r="AB5">
        <v>0.25</v>
      </c>
    </row>
    <row r="6" spans="1:28" x14ac:dyDescent="0.25">
      <c r="A6">
        <v>1999</v>
      </c>
      <c r="B6">
        <v>30</v>
      </c>
      <c r="C6">
        <v>1209</v>
      </c>
      <c r="D6">
        <v>28.9</v>
      </c>
      <c r="E6">
        <v>5.08</v>
      </c>
      <c r="F6">
        <v>4856</v>
      </c>
      <c r="G6">
        <v>39.06</v>
      </c>
      <c r="H6">
        <v>34.42</v>
      </c>
      <c r="I6">
        <v>5.08</v>
      </c>
      <c r="J6">
        <v>9.33</v>
      </c>
      <c r="K6">
        <v>1.8</v>
      </c>
      <c r="L6">
        <v>0.19</v>
      </c>
      <c r="M6">
        <v>1.1399999999999999</v>
      </c>
      <c r="N6">
        <v>4.83</v>
      </c>
      <c r="O6">
        <v>0.7</v>
      </c>
      <c r="P6">
        <v>0.31</v>
      </c>
      <c r="Q6">
        <v>3.68</v>
      </c>
      <c r="R6">
        <v>6.41</v>
      </c>
      <c r="S6">
        <v>0.27100000000000002</v>
      </c>
      <c r="T6">
        <v>0.34499999999999997</v>
      </c>
      <c r="U6">
        <v>0.434</v>
      </c>
      <c r="V6">
        <v>0.77800000000000002</v>
      </c>
      <c r="W6">
        <v>14.93</v>
      </c>
      <c r="X6">
        <v>0.79</v>
      </c>
      <c r="Y6">
        <v>0.33</v>
      </c>
      <c r="Z6">
        <v>0.33</v>
      </c>
      <c r="AA6">
        <v>0.3</v>
      </c>
      <c r="AB6">
        <v>0.23</v>
      </c>
    </row>
    <row r="8" spans="1:28" x14ac:dyDescent="0.25">
      <c r="A8" s="1" t="s">
        <v>28</v>
      </c>
    </row>
    <row r="10" spans="1:28" x14ac:dyDescent="0.25">
      <c r="F10">
        <f>F12/2</f>
        <v>2429</v>
      </c>
    </row>
    <row r="11" spans="1:28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</row>
    <row r="12" spans="1:28" x14ac:dyDescent="0.25">
      <c r="A12">
        <v>2011</v>
      </c>
      <c r="B12">
        <v>30</v>
      </c>
      <c r="C12">
        <v>1295</v>
      </c>
      <c r="D12">
        <v>28.7</v>
      </c>
      <c r="E12">
        <v>4.28</v>
      </c>
      <c r="F12">
        <v>4858</v>
      </c>
      <c r="G12">
        <v>185245</v>
      </c>
      <c r="H12">
        <v>165705</v>
      </c>
      <c r="I12">
        <v>20808</v>
      </c>
      <c r="J12">
        <v>42267</v>
      </c>
      <c r="K12">
        <v>8399</v>
      </c>
      <c r="L12">
        <v>898</v>
      </c>
      <c r="M12">
        <v>4552</v>
      </c>
      <c r="N12">
        <v>19804</v>
      </c>
      <c r="O12">
        <v>3279</v>
      </c>
      <c r="P12">
        <v>1261</v>
      </c>
      <c r="Q12">
        <v>15018</v>
      </c>
      <c r="R12">
        <v>34488</v>
      </c>
      <c r="S12">
        <v>0.255</v>
      </c>
      <c r="T12">
        <v>0.32100000000000001</v>
      </c>
      <c r="U12">
        <v>0.39900000000000002</v>
      </c>
      <c r="V12">
        <v>0.72</v>
      </c>
      <c r="W12">
        <v>66118</v>
      </c>
      <c r="X12">
        <v>3523</v>
      </c>
      <c r="Y12">
        <v>1554</v>
      </c>
      <c r="Z12">
        <v>1667</v>
      </c>
      <c r="AA12">
        <v>1274</v>
      </c>
      <c r="AB12">
        <v>1231</v>
      </c>
    </row>
    <row r="13" spans="1:28" x14ac:dyDescent="0.25">
      <c r="A13">
        <v>2002</v>
      </c>
      <c r="B13">
        <v>30</v>
      </c>
      <c r="C13">
        <v>1218</v>
      </c>
      <c r="D13">
        <v>29.2</v>
      </c>
      <c r="E13">
        <v>4.62</v>
      </c>
      <c r="F13">
        <v>4852</v>
      </c>
      <c r="G13">
        <v>186615</v>
      </c>
      <c r="H13">
        <v>165582</v>
      </c>
      <c r="I13">
        <v>22408</v>
      </c>
      <c r="J13">
        <v>43272</v>
      </c>
      <c r="K13">
        <v>8700</v>
      </c>
      <c r="L13">
        <v>921</v>
      </c>
      <c r="M13">
        <v>5059</v>
      </c>
      <c r="N13">
        <v>21332</v>
      </c>
      <c r="O13">
        <v>2750</v>
      </c>
      <c r="P13">
        <v>1282</v>
      </c>
      <c r="Q13">
        <v>16246</v>
      </c>
      <c r="R13">
        <v>31394</v>
      </c>
      <c r="S13">
        <v>0.26100000000000001</v>
      </c>
      <c r="T13">
        <v>0.33100000000000002</v>
      </c>
      <c r="U13">
        <v>0.41699999999999998</v>
      </c>
      <c r="V13">
        <v>0.748</v>
      </c>
      <c r="W13">
        <v>68991</v>
      </c>
      <c r="X13">
        <v>3845</v>
      </c>
      <c r="Y13">
        <v>1746</v>
      </c>
      <c r="Z13">
        <v>1633</v>
      </c>
      <c r="AA13">
        <v>1399</v>
      </c>
      <c r="AB13">
        <v>1452</v>
      </c>
    </row>
    <row r="14" spans="1:28" x14ac:dyDescent="0.25">
      <c r="A14">
        <v>2001</v>
      </c>
      <c r="B14">
        <v>30</v>
      </c>
      <c r="C14">
        <v>1220</v>
      </c>
      <c r="D14">
        <v>29.1</v>
      </c>
      <c r="E14">
        <v>4.78</v>
      </c>
      <c r="F14">
        <v>4858</v>
      </c>
      <c r="G14">
        <v>186976</v>
      </c>
      <c r="H14">
        <v>166234</v>
      </c>
      <c r="I14">
        <v>23199</v>
      </c>
      <c r="J14">
        <v>43879</v>
      </c>
      <c r="K14">
        <v>8813</v>
      </c>
      <c r="L14">
        <v>928</v>
      </c>
      <c r="M14">
        <v>5458</v>
      </c>
      <c r="N14">
        <v>22088</v>
      </c>
      <c r="O14">
        <v>3103</v>
      </c>
      <c r="P14">
        <v>1408</v>
      </c>
      <c r="Q14">
        <v>15806</v>
      </c>
      <c r="R14">
        <v>32404</v>
      </c>
      <c r="S14">
        <v>0.26400000000000001</v>
      </c>
      <c r="T14">
        <v>0.33200000000000002</v>
      </c>
      <c r="U14">
        <v>0.42699999999999999</v>
      </c>
      <c r="V14">
        <v>0.75900000000000001</v>
      </c>
      <c r="W14">
        <v>70922</v>
      </c>
      <c r="X14">
        <v>3653</v>
      </c>
      <c r="Y14">
        <v>1890</v>
      </c>
      <c r="Z14">
        <v>1607</v>
      </c>
      <c r="AA14">
        <v>1424</v>
      </c>
      <c r="AB14">
        <v>1384</v>
      </c>
    </row>
    <row r="15" spans="1:28" x14ac:dyDescent="0.25">
      <c r="A15">
        <v>2000</v>
      </c>
      <c r="B15">
        <v>30</v>
      </c>
      <c r="C15">
        <v>1230</v>
      </c>
      <c r="D15">
        <v>29.1</v>
      </c>
      <c r="E15">
        <v>5.14</v>
      </c>
      <c r="F15">
        <v>4858</v>
      </c>
      <c r="G15">
        <v>190261</v>
      </c>
      <c r="H15">
        <v>167290</v>
      </c>
      <c r="I15">
        <v>24971</v>
      </c>
      <c r="J15">
        <v>45246</v>
      </c>
      <c r="K15">
        <v>8901</v>
      </c>
      <c r="L15">
        <v>952</v>
      </c>
      <c r="M15">
        <v>5693</v>
      </c>
      <c r="N15">
        <v>23735</v>
      </c>
      <c r="O15">
        <v>2924</v>
      </c>
      <c r="P15">
        <v>1323</v>
      </c>
      <c r="Q15">
        <v>18237</v>
      </c>
      <c r="R15">
        <v>31356</v>
      </c>
      <c r="S15">
        <v>0.27</v>
      </c>
      <c r="T15">
        <v>0.34499999999999997</v>
      </c>
      <c r="U15">
        <v>0.437</v>
      </c>
      <c r="V15">
        <v>0.78200000000000003</v>
      </c>
      <c r="W15">
        <v>73130</v>
      </c>
      <c r="X15">
        <v>3892</v>
      </c>
      <c r="Y15">
        <v>1573</v>
      </c>
      <c r="Z15">
        <v>1628</v>
      </c>
      <c r="AA15">
        <v>1514</v>
      </c>
      <c r="AB15">
        <v>1210</v>
      </c>
    </row>
    <row r="16" spans="1:28" x14ac:dyDescent="0.25">
      <c r="A16">
        <v>1999</v>
      </c>
      <c r="B16">
        <v>30</v>
      </c>
      <c r="C16">
        <v>1209</v>
      </c>
      <c r="D16">
        <v>28.9</v>
      </c>
      <c r="E16">
        <v>5.08</v>
      </c>
      <c r="F16">
        <v>4856</v>
      </c>
      <c r="G16">
        <v>189692</v>
      </c>
      <c r="H16">
        <v>167137</v>
      </c>
      <c r="I16">
        <v>24691</v>
      </c>
      <c r="J16">
        <v>45327</v>
      </c>
      <c r="K16">
        <v>8740</v>
      </c>
      <c r="L16">
        <v>931</v>
      </c>
      <c r="M16">
        <v>5528</v>
      </c>
      <c r="N16">
        <v>23461</v>
      </c>
      <c r="O16">
        <v>3421</v>
      </c>
      <c r="P16">
        <v>1519</v>
      </c>
      <c r="Q16">
        <v>17891</v>
      </c>
      <c r="R16">
        <v>31119</v>
      </c>
      <c r="S16">
        <v>0.27100000000000002</v>
      </c>
      <c r="T16">
        <v>0.34499999999999997</v>
      </c>
      <c r="U16">
        <v>0.434</v>
      </c>
      <c r="V16">
        <v>0.77800000000000002</v>
      </c>
      <c r="W16">
        <v>72513</v>
      </c>
      <c r="X16">
        <v>3841</v>
      </c>
      <c r="Y16">
        <v>1579</v>
      </c>
      <c r="Z16">
        <v>1604</v>
      </c>
      <c r="AA16">
        <v>1464</v>
      </c>
      <c r="AB16">
        <v>1107</v>
      </c>
    </row>
    <row r="17" spans="1:28" x14ac:dyDescent="0.25">
      <c r="F17">
        <f>SUM(F13:F16)</f>
        <v>19424</v>
      </c>
      <c r="I17">
        <f>SUM(I13:I16)</f>
        <v>95269</v>
      </c>
    </row>
    <row r="20" spans="1:28" x14ac:dyDescent="0.25">
      <c r="A20">
        <v>2011</v>
      </c>
    </row>
    <row r="21" spans="1:28" x14ac:dyDescent="0.25">
      <c r="A21" t="s">
        <v>64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  <c r="L21" t="s">
        <v>12</v>
      </c>
      <c r="M21" t="s">
        <v>13</v>
      </c>
      <c r="N21" t="s">
        <v>14</v>
      </c>
      <c r="O21" t="s">
        <v>15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  <c r="V21" t="s">
        <v>65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</row>
    <row r="22" spans="1:28" x14ac:dyDescent="0.25">
      <c r="A22" t="s">
        <v>66</v>
      </c>
      <c r="B22">
        <v>51</v>
      </c>
      <c r="C22">
        <v>28.3</v>
      </c>
      <c r="D22">
        <v>4.51</v>
      </c>
      <c r="E22">
        <v>162</v>
      </c>
      <c r="F22">
        <v>6096</v>
      </c>
      <c r="G22">
        <v>5421</v>
      </c>
      <c r="H22">
        <v>731</v>
      </c>
      <c r="I22">
        <v>1357</v>
      </c>
      <c r="J22">
        <v>293</v>
      </c>
      <c r="K22">
        <v>37</v>
      </c>
      <c r="L22">
        <v>172</v>
      </c>
      <c r="M22">
        <v>702</v>
      </c>
      <c r="N22">
        <v>133</v>
      </c>
      <c r="O22">
        <v>55</v>
      </c>
      <c r="P22">
        <v>531</v>
      </c>
      <c r="Q22">
        <v>1249</v>
      </c>
      <c r="R22">
        <v>0.25</v>
      </c>
      <c r="S22">
        <v>0.32200000000000001</v>
      </c>
      <c r="T22">
        <v>0.41299999999999998</v>
      </c>
      <c r="U22">
        <v>0.73599999999999999</v>
      </c>
      <c r="V22">
        <v>99</v>
      </c>
      <c r="W22">
        <v>2240</v>
      </c>
      <c r="X22">
        <v>82</v>
      </c>
      <c r="Y22">
        <v>61</v>
      </c>
      <c r="Z22">
        <v>50</v>
      </c>
      <c r="AA22">
        <v>33</v>
      </c>
      <c r="AB22">
        <v>55</v>
      </c>
    </row>
    <row r="23" spans="1:28" x14ac:dyDescent="0.25">
      <c r="A23" t="s">
        <v>67</v>
      </c>
      <c r="B23">
        <v>45</v>
      </c>
      <c r="C23">
        <v>28.9</v>
      </c>
      <c r="D23">
        <v>3.96</v>
      </c>
      <c r="E23">
        <v>162</v>
      </c>
      <c r="F23">
        <v>6169</v>
      </c>
      <c r="G23">
        <v>5528</v>
      </c>
      <c r="H23">
        <v>641</v>
      </c>
      <c r="I23">
        <v>1345</v>
      </c>
      <c r="J23">
        <v>244</v>
      </c>
      <c r="K23">
        <v>16</v>
      </c>
      <c r="L23">
        <v>173</v>
      </c>
      <c r="M23">
        <v>606</v>
      </c>
      <c r="N23">
        <v>77</v>
      </c>
      <c r="O23">
        <v>44</v>
      </c>
      <c r="P23">
        <v>504</v>
      </c>
      <c r="Q23">
        <v>1260</v>
      </c>
      <c r="R23">
        <v>0.24299999999999999</v>
      </c>
      <c r="S23">
        <v>0.308</v>
      </c>
      <c r="T23">
        <v>0.38700000000000001</v>
      </c>
      <c r="U23">
        <v>0.69499999999999995</v>
      </c>
      <c r="V23">
        <v>90</v>
      </c>
      <c r="W23">
        <v>2140</v>
      </c>
      <c r="X23">
        <v>113</v>
      </c>
      <c r="Y23">
        <v>28</v>
      </c>
      <c r="Z23">
        <v>75</v>
      </c>
      <c r="AA23">
        <v>30</v>
      </c>
      <c r="AB23">
        <v>45</v>
      </c>
    </row>
    <row r="24" spans="1:28" x14ac:dyDescent="0.25">
      <c r="A24" t="s">
        <v>68</v>
      </c>
      <c r="B24">
        <v>50</v>
      </c>
      <c r="C24">
        <v>28.4</v>
      </c>
      <c r="D24">
        <v>4.37</v>
      </c>
      <c r="E24">
        <v>162</v>
      </c>
      <c r="F24">
        <v>6156</v>
      </c>
      <c r="G24">
        <v>5585</v>
      </c>
      <c r="H24">
        <v>708</v>
      </c>
      <c r="I24">
        <v>1434</v>
      </c>
      <c r="J24">
        <v>273</v>
      </c>
      <c r="K24">
        <v>13</v>
      </c>
      <c r="L24">
        <v>191</v>
      </c>
      <c r="M24">
        <v>684</v>
      </c>
      <c r="N24">
        <v>81</v>
      </c>
      <c r="O24">
        <v>25</v>
      </c>
      <c r="P24">
        <v>452</v>
      </c>
      <c r="Q24">
        <v>1120</v>
      </c>
      <c r="R24">
        <v>0.25700000000000001</v>
      </c>
      <c r="S24">
        <v>0.316</v>
      </c>
      <c r="T24">
        <v>0.41299999999999998</v>
      </c>
      <c r="U24">
        <v>0.72899999999999998</v>
      </c>
      <c r="V24">
        <v>97</v>
      </c>
      <c r="W24">
        <v>2306</v>
      </c>
      <c r="X24">
        <v>154</v>
      </c>
      <c r="Y24">
        <v>52</v>
      </c>
      <c r="Z24">
        <v>24</v>
      </c>
      <c r="AA24">
        <v>43</v>
      </c>
      <c r="AB24">
        <v>24</v>
      </c>
    </row>
    <row r="25" spans="1:28" x14ac:dyDescent="0.25">
      <c r="A25" t="s">
        <v>69</v>
      </c>
      <c r="B25">
        <v>49</v>
      </c>
      <c r="C25">
        <v>30</v>
      </c>
      <c r="D25">
        <v>5.4</v>
      </c>
      <c r="E25">
        <v>162</v>
      </c>
      <c r="F25">
        <v>6414</v>
      </c>
      <c r="G25">
        <v>5710</v>
      </c>
      <c r="H25">
        <v>875</v>
      </c>
      <c r="I25">
        <v>1600</v>
      </c>
      <c r="J25">
        <v>352</v>
      </c>
      <c r="K25">
        <v>35</v>
      </c>
      <c r="L25">
        <v>203</v>
      </c>
      <c r="M25">
        <v>842</v>
      </c>
      <c r="N25">
        <v>102</v>
      </c>
      <c r="O25">
        <v>42</v>
      </c>
      <c r="P25">
        <v>578</v>
      </c>
      <c r="Q25">
        <v>1108</v>
      </c>
      <c r="R25">
        <v>0.28000000000000003</v>
      </c>
      <c r="S25">
        <v>0.34899999999999998</v>
      </c>
      <c r="T25">
        <v>0.46100000000000002</v>
      </c>
      <c r="U25">
        <v>0.81</v>
      </c>
      <c r="V25">
        <v>116</v>
      </c>
      <c r="W25">
        <v>2631</v>
      </c>
      <c r="X25">
        <v>136</v>
      </c>
      <c r="Y25">
        <v>50</v>
      </c>
      <c r="Z25">
        <v>22</v>
      </c>
      <c r="AA25">
        <v>50</v>
      </c>
      <c r="AB25">
        <v>52</v>
      </c>
    </row>
    <row r="26" spans="1:28" x14ac:dyDescent="0.25">
      <c r="A26" t="s">
        <v>70</v>
      </c>
      <c r="B26">
        <v>42</v>
      </c>
      <c r="C26">
        <v>29.2</v>
      </c>
      <c r="D26">
        <v>4.04</v>
      </c>
      <c r="E26">
        <v>162</v>
      </c>
      <c r="F26">
        <v>6130</v>
      </c>
      <c r="G26">
        <v>5549</v>
      </c>
      <c r="H26">
        <v>654</v>
      </c>
      <c r="I26">
        <v>1423</v>
      </c>
      <c r="J26">
        <v>285</v>
      </c>
      <c r="K26">
        <v>36</v>
      </c>
      <c r="L26">
        <v>148</v>
      </c>
      <c r="M26">
        <v>610</v>
      </c>
      <c r="N26">
        <v>69</v>
      </c>
      <c r="O26">
        <v>23</v>
      </c>
      <c r="P26">
        <v>425</v>
      </c>
      <c r="Q26">
        <v>1202</v>
      </c>
      <c r="R26">
        <v>0.25600000000000001</v>
      </c>
      <c r="S26">
        <v>0.314</v>
      </c>
      <c r="T26">
        <v>0.40100000000000002</v>
      </c>
      <c r="U26">
        <v>0.71499999999999997</v>
      </c>
      <c r="V26">
        <v>95</v>
      </c>
      <c r="W26">
        <v>2224</v>
      </c>
      <c r="X26">
        <v>123</v>
      </c>
      <c r="Y26">
        <v>59</v>
      </c>
      <c r="Z26">
        <v>60</v>
      </c>
      <c r="AA26">
        <v>35</v>
      </c>
      <c r="AB26">
        <v>35</v>
      </c>
    </row>
    <row r="27" spans="1:28" x14ac:dyDescent="0.25">
      <c r="A27" t="s">
        <v>71</v>
      </c>
      <c r="B27">
        <v>42</v>
      </c>
      <c r="C27">
        <v>29.9</v>
      </c>
      <c r="D27">
        <v>4.04</v>
      </c>
      <c r="E27">
        <v>162</v>
      </c>
      <c r="F27">
        <v>6159</v>
      </c>
      <c r="G27">
        <v>5502</v>
      </c>
      <c r="H27">
        <v>654</v>
      </c>
      <c r="I27">
        <v>1387</v>
      </c>
      <c r="J27">
        <v>252</v>
      </c>
      <c r="K27">
        <v>16</v>
      </c>
      <c r="L27">
        <v>154</v>
      </c>
      <c r="M27">
        <v>625</v>
      </c>
      <c r="N27">
        <v>81</v>
      </c>
      <c r="O27">
        <v>53</v>
      </c>
      <c r="P27">
        <v>475</v>
      </c>
      <c r="Q27">
        <v>989</v>
      </c>
      <c r="R27">
        <v>0.252</v>
      </c>
      <c r="S27">
        <v>0.31900000000000001</v>
      </c>
      <c r="T27">
        <v>0.38800000000000001</v>
      </c>
      <c r="U27">
        <v>0.70599999999999996</v>
      </c>
      <c r="V27">
        <v>89</v>
      </c>
      <c r="W27">
        <v>2133</v>
      </c>
      <c r="X27">
        <v>125</v>
      </c>
      <c r="Y27">
        <v>84</v>
      </c>
      <c r="Z27">
        <v>52</v>
      </c>
      <c r="AA27">
        <v>46</v>
      </c>
      <c r="AB27">
        <v>31</v>
      </c>
    </row>
    <row r="28" spans="1:28" x14ac:dyDescent="0.25">
      <c r="A28" t="s">
        <v>72</v>
      </c>
      <c r="B28">
        <v>42</v>
      </c>
      <c r="C28">
        <v>28.6</v>
      </c>
      <c r="D28">
        <v>4.54</v>
      </c>
      <c r="E28">
        <v>162</v>
      </c>
      <c r="F28">
        <v>6329</v>
      </c>
      <c r="G28">
        <v>5612</v>
      </c>
      <c r="H28">
        <v>735</v>
      </c>
      <c r="I28">
        <v>1438</v>
      </c>
      <c r="J28">
        <v>264</v>
      </c>
      <c r="K28">
        <v>19</v>
      </c>
      <c r="L28">
        <v>183</v>
      </c>
      <c r="M28">
        <v>697</v>
      </c>
      <c r="N28">
        <v>97</v>
      </c>
      <c r="O28">
        <v>50</v>
      </c>
      <c r="P28">
        <v>535</v>
      </c>
      <c r="Q28">
        <v>1250</v>
      </c>
      <c r="R28">
        <v>0.25600000000000001</v>
      </c>
      <c r="S28">
        <v>0.32600000000000001</v>
      </c>
      <c r="T28">
        <v>0.40799999999999997</v>
      </c>
      <c r="U28">
        <v>0.73399999999999999</v>
      </c>
      <c r="V28">
        <v>98</v>
      </c>
      <c r="W28">
        <v>2289</v>
      </c>
      <c r="X28">
        <v>98</v>
      </c>
      <c r="Y28">
        <v>63</v>
      </c>
      <c r="Z28">
        <v>78</v>
      </c>
      <c r="AA28">
        <v>40</v>
      </c>
      <c r="AB28">
        <v>52</v>
      </c>
    </row>
    <row r="29" spans="1:28" x14ac:dyDescent="0.25">
      <c r="A29" t="s">
        <v>73</v>
      </c>
      <c r="B29">
        <v>46</v>
      </c>
      <c r="C29">
        <v>27.8</v>
      </c>
      <c r="D29">
        <v>4.3499999999999996</v>
      </c>
      <c r="E29">
        <v>162</v>
      </c>
      <c r="F29">
        <v>6142</v>
      </c>
      <c r="G29">
        <v>5509</v>
      </c>
      <c r="H29">
        <v>704</v>
      </c>
      <c r="I29">
        <v>1380</v>
      </c>
      <c r="J29">
        <v>290</v>
      </c>
      <c r="K29">
        <v>26</v>
      </c>
      <c r="L29">
        <v>154</v>
      </c>
      <c r="M29">
        <v>671</v>
      </c>
      <c r="N29">
        <v>89</v>
      </c>
      <c r="O29">
        <v>42</v>
      </c>
      <c r="P29">
        <v>494</v>
      </c>
      <c r="Q29">
        <v>1269</v>
      </c>
      <c r="R29">
        <v>0.25</v>
      </c>
      <c r="S29">
        <v>0.317</v>
      </c>
      <c r="T29">
        <v>0.39600000000000002</v>
      </c>
      <c r="U29">
        <v>0.71399999999999997</v>
      </c>
      <c r="V29">
        <v>100</v>
      </c>
      <c r="W29">
        <v>2184</v>
      </c>
      <c r="X29">
        <v>111</v>
      </c>
      <c r="Y29">
        <v>65</v>
      </c>
      <c r="Z29">
        <v>31</v>
      </c>
      <c r="AA29">
        <v>43</v>
      </c>
      <c r="AB29">
        <v>30</v>
      </c>
    </row>
    <row r="30" spans="1:28" x14ac:dyDescent="0.25">
      <c r="A30" t="s">
        <v>74</v>
      </c>
      <c r="B30">
        <v>55</v>
      </c>
      <c r="C30">
        <v>28.6</v>
      </c>
      <c r="D30">
        <v>4.54</v>
      </c>
      <c r="E30">
        <v>162</v>
      </c>
      <c r="F30">
        <v>6275</v>
      </c>
      <c r="G30">
        <v>5544</v>
      </c>
      <c r="H30">
        <v>735</v>
      </c>
      <c r="I30">
        <v>1429</v>
      </c>
      <c r="J30">
        <v>274</v>
      </c>
      <c r="K30">
        <v>40</v>
      </c>
      <c r="L30">
        <v>163</v>
      </c>
      <c r="M30">
        <v>697</v>
      </c>
      <c r="N30">
        <v>118</v>
      </c>
      <c r="O30">
        <v>42</v>
      </c>
      <c r="P30">
        <v>555</v>
      </c>
      <c r="Q30">
        <v>1201</v>
      </c>
      <c r="R30">
        <v>0.25800000000000001</v>
      </c>
      <c r="S30">
        <v>0.32900000000000001</v>
      </c>
      <c r="T30">
        <v>0.41</v>
      </c>
      <c r="U30">
        <v>0.73899999999999999</v>
      </c>
      <c r="V30">
        <v>88</v>
      </c>
      <c r="W30">
        <v>2272</v>
      </c>
      <c r="X30">
        <v>112</v>
      </c>
      <c r="Y30">
        <v>57</v>
      </c>
      <c r="Z30">
        <v>75</v>
      </c>
      <c r="AA30">
        <v>44</v>
      </c>
      <c r="AB30">
        <v>54</v>
      </c>
    </row>
    <row r="31" spans="1:28" x14ac:dyDescent="0.25">
      <c r="A31" t="s">
        <v>75</v>
      </c>
      <c r="B31">
        <v>45</v>
      </c>
      <c r="C31">
        <v>28.6</v>
      </c>
      <c r="D31">
        <v>4.8600000000000003</v>
      </c>
      <c r="E31">
        <v>162</v>
      </c>
      <c r="F31">
        <v>6231</v>
      </c>
      <c r="G31">
        <v>5563</v>
      </c>
      <c r="H31">
        <v>787</v>
      </c>
      <c r="I31">
        <v>1540</v>
      </c>
      <c r="J31">
        <v>297</v>
      </c>
      <c r="K31">
        <v>34</v>
      </c>
      <c r="L31">
        <v>169</v>
      </c>
      <c r="M31">
        <v>750</v>
      </c>
      <c r="N31">
        <v>49</v>
      </c>
      <c r="O31">
        <v>20</v>
      </c>
      <c r="P31">
        <v>521</v>
      </c>
      <c r="Q31">
        <v>1143</v>
      </c>
      <c r="R31">
        <v>0.27700000000000002</v>
      </c>
      <c r="S31">
        <v>0.34</v>
      </c>
      <c r="T31">
        <v>0.434</v>
      </c>
      <c r="U31">
        <v>0.77300000000000002</v>
      </c>
      <c r="V31">
        <v>109</v>
      </c>
      <c r="W31">
        <v>2412</v>
      </c>
      <c r="X31">
        <v>142</v>
      </c>
      <c r="Y31">
        <v>39</v>
      </c>
      <c r="Z31">
        <v>50</v>
      </c>
      <c r="AA31">
        <v>58</v>
      </c>
      <c r="AB31">
        <v>47</v>
      </c>
    </row>
    <row r="32" spans="1:28" x14ac:dyDescent="0.25">
      <c r="A32" t="s">
        <v>76</v>
      </c>
      <c r="B32">
        <v>44</v>
      </c>
      <c r="C32">
        <v>27.4</v>
      </c>
      <c r="D32">
        <v>3.86</v>
      </c>
      <c r="E32">
        <v>162</v>
      </c>
      <c r="F32">
        <v>6232</v>
      </c>
      <c r="G32">
        <v>5508</v>
      </c>
      <c r="H32">
        <v>625</v>
      </c>
      <c r="I32">
        <v>1358</v>
      </c>
      <c r="J32">
        <v>274</v>
      </c>
      <c r="K32">
        <v>30</v>
      </c>
      <c r="L32">
        <v>149</v>
      </c>
      <c r="M32">
        <v>596</v>
      </c>
      <c r="N32">
        <v>95</v>
      </c>
      <c r="O32">
        <v>41</v>
      </c>
      <c r="P32">
        <v>542</v>
      </c>
      <c r="Q32">
        <v>1244</v>
      </c>
      <c r="R32">
        <v>0.247</v>
      </c>
      <c r="S32">
        <v>0.318</v>
      </c>
      <c r="T32">
        <v>0.38800000000000001</v>
      </c>
      <c r="U32">
        <v>0.70599999999999996</v>
      </c>
      <c r="V32">
        <v>93</v>
      </c>
      <c r="W32">
        <v>2139</v>
      </c>
      <c r="X32">
        <v>111</v>
      </c>
      <c r="Y32">
        <v>51</v>
      </c>
      <c r="Z32">
        <v>89</v>
      </c>
      <c r="AA32">
        <v>42</v>
      </c>
      <c r="AB32">
        <v>38</v>
      </c>
    </row>
    <row r="33" spans="1:28" x14ac:dyDescent="0.25">
      <c r="A33" t="s">
        <v>77</v>
      </c>
      <c r="B33">
        <v>47</v>
      </c>
      <c r="C33">
        <v>28.2</v>
      </c>
      <c r="D33">
        <v>3.8</v>
      </c>
      <c r="E33">
        <v>162</v>
      </c>
      <c r="F33">
        <v>6150</v>
      </c>
      <c r="G33">
        <v>5598</v>
      </c>
      <c r="H33">
        <v>615</v>
      </c>
      <c r="I33">
        <v>1442</v>
      </c>
      <c r="J33">
        <v>309</v>
      </c>
      <c r="K33">
        <v>28</v>
      </c>
      <c r="L33">
        <v>95</v>
      </c>
      <c r="M33">
        <v>579</v>
      </c>
      <c r="N33">
        <v>118</v>
      </c>
      <c r="O33">
        <v>33</v>
      </c>
      <c r="P33">
        <v>401</v>
      </c>
      <c r="Q33">
        <v>1164</v>
      </c>
      <c r="R33">
        <v>0.25800000000000001</v>
      </c>
      <c r="S33">
        <v>0.311</v>
      </c>
      <c r="T33">
        <v>0.374</v>
      </c>
      <c r="U33">
        <v>0.68400000000000005</v>
      </c>
      <c r="V33">
        <v>89</v>
      </c>
      <c r="W33">
        <v>2092</v>
      </c>
      <c r="X33">
        <v>111</v>
      </c>
      <c r="Y33">
        <v>46</v>
      </c>
      <c r="Z33">
        <v>66</v>
      </c>
      <c r="AA33">
        <v>37</v>
      </c>
      <c r="AB33">
        <v>34</v>
      </c>
    </row>
    <row r="34" spans="1:28" x14ac:dyDescent="0.25">
      <c r="A34" t="s">
        <v>78</v>
      </c>
      <c r="B34">
        <v>42</v>
      </c>
      <c r="C34">
        <v>25.8</v>
      </c>
      <c r="D34">
        <v>4.51</v>
      </c>
      <c r="E34">
        <v>162</v>
      </c>
      <c r="F34">
        <v>6267</v>
      </c>
      <c r="G34">
        <v>5672</v>
      </c>
      <c r="H34">
        <v>730</v>
      </c>
      <c r="I34">
        <v>1560</v>
      </c>
      <c r="J34">
        <v>325</v>
      </c>
      <c r="K34">
        <v>41</v>
      </c>
      <c r="L34">
        <v>129</v>
      </c>
      <c r="M34">
        <v>705</v>
      </c>
      <c r="N34">
        <v>153</v>
      </c>
      <c r="O34">
        <v>58</v>
      </c>
      <c r="P34">
        <v>442</v>
      </c>
      <c r="Q34">
        <v>1006</v>
      </c>
      <c r="R34">
        <v>0.27500000000000002</v>
      </c>
      <c r="S34">
        <v>0.32900000000000001</v>
      </c>
      <c r="T34">
        <v>0.41499999999999998</v>
      </c>
      <c r="U34">
        <v>0.74399999999999999</v>
      </c>
      <c r="V34">
        <v>104</v>
      </c>
      <c r="W34">
        <v>2354</v>
      </c>
      <c r="X34">
        <v>121</v>
      </c>
      <c r="Y34">
        <v>39</v>
      </c>
      <c r="Z34">
        <v>55</v>
      </c>
      <c r="AA34">
        <v>57</v>
      </c>
      <c r="AB34">
        <v>37</v>
      </c>
    </row>
    <row r="35" spans="1:28" x14ac:dyDescent="0.25">
      <c r="A35" t="s">
        <v>79</v>
      </c>
      <c r="B35">
        <v>43</v>
      </c>
      <c r="C35">
        <v>28.9</v>
      </c>
      <c r="D35">
        <v>4.12</v>
      </c>
      <c r="E35">
        <v>162</v>
      </c>
      <c r="F35">
        <v>6088</v>
      </c>
      <c r="G35">
        <v>5513</v>
      </c>
      <c r="H35">
        <v>667</v>
      </c>
      <c r="I35">
        <v>1394</v>
      </c>
      <c r="J35">
        <v>289</v>
      </c>
      <c r="K35">
        <v>34</v>
      </c>
      <c r="L35">
        <v>155</v>
      </c>
      <c r="M35">
        <v>629</v>
      </c>
      <c r="N35">
        <v>135</v>
      </c>
      <c r="O35">
        <v>52</v>
      </c>
      <c r="P35">
        <v>442</v>
      </c>
      <c r="Q35">
        <v>1086</v>
      </c>
      <c r="R35">
        <v>0.253</v>
      </c>
      <c r="S35">
        <v>0.313</v>
      </c>
      <c r="T35">
        <v>0.40200000000000002</v>
      </c>
      <c r="U35">
        <v>0.71399999999999997</v>
      </c>
      <c r="V35">
        <v>102</v>
      </c>
      <c r="W35">
        <v>2216</v>
      </c>
      <c r="X35">
        <v>126</v>
      </c>
      <c r="Y35">
        <v>51</v>
      </c>
      <c r="Z35">
        <v>50</v>
      </c>
      <c r="AA35">
        <v>32</v>
      </c>
      <c r="AB35">
        <v>33</v>
      </c>
    </row>
    <row r="36" spans="1:28" x14ac:dyDescent="0.25">
      <c r="A36" t="s">
        <v>80</v>
      </c>
      <c r="B36">
        <v>48</v>
      </c>
      <c r="C36">
        <v>29.8</v>
      </c>
      <c r="D36">
        <v>4</v>
      </c>
      <c r="E36">
        <v>161</v>
      </c>
      <c r="F36">
        <v>6094</v>
      </c>
      <c r="G36">
        <v>5436</v>
      </c>
      <c r="H36">
        <v>644</v>
      </c>
      <c r="I36">
        <v>1395</v>
      </c>
      <c r="J36">
        <v>237</v>
      </c>
      <c r="K36">
        <v>28</v>
      </c>
      <c r="L36">
        <v>117</v>
      </c>
      <c r="M36">
        <v>613</v>
      </c>
      <c r="N36">
        <v>126</v>
      </c>
      <c r="O36">
        <v>40</v>
      </c>
      <c r="P36">
        <v>498</v>
      </c>
      <c r="Q36">
        <v>1087</v>
      </c>
      <c r="R36">
        <v>0.25700000000000001</v>
      </c>
      <c r="S36">
        <v>0.32200000000000001</v>
      </c>
      <c r="T36">
        <v>0.375</v>
      </c>
      <c r="U36">
        <v>0.69699999999999995</v>
      </c>
      <c r="V36">
        <v>95</v>
      </c>
      <c r="W36">
        <v>2039</v>
      </c>
      <c r="X36">
        <v>101</v>
      </c>
      <c r="Y36">
        <v>45</v>
      </c>
      <c r="Z36">
        <v>71</v>
      </c>
      <c r="AA36">
        <v>43</v>
      </c>
      <c r="AB36">
        <v>61</v>
      </c>
    </row>
    <row r="37" spans="1:28" x14ac:dyDescent="0.25">
      <c r="A37" t="s">
        <v>81</v>
      </c>
      <c r="B37">
        <v>48</v>
      </c>
      <c r="C37">
        <v>28.9</v>
      </c>
      <c r="D37">
        <v>4.45</v>
      </c>
      <c r="E37">
        <v>162</v>
      </c>
      <c r="F37">
        <v>6113</v>
      </c>
      <c r="G37">
        <v>5447</v>
      </c>
      <c r="H37">
        <v>721</v>
      </c>
      <c r="I37">
        <v>1422</v>
      </c>
      <c r="J37">
        <v>276</v>
      </c>
      <c r="K37">
        <v>31</v>
      </c>
      <c r="L37">
        <v>185</v>
      </c>
      <c r="M37">
        <v>693</v>
      </c>
      <c r="N37">
        <v>94</v>
      </c>
      <c r="O37">
        <v>31</v>
      </c>
      <c r="P37">
        <v>481</v>
      </c>
      <c r="Q37">
        <v>1083</v>
      </c>
      <c r="R37">
        <v>0.26100000000000001</v>
      </c>
      <c r="S37">
        <v>0.32500000000000001</v>
      </c>
      <c r="T37">
        <v>0.42499999999999999</v>
      </c>
      <c r="U37">
        <v>0.75</v>
      </c>
      <c r="V37">
        <v>102</v>
      </c>
      <c r="W37">
        <v>2315</v>
      </c>
      <c r="X37">
        <v>114</v>
      </c>
      <c r="Y37">
        <v>56</v>
      </c>
      <c r="Z37">
        <v>85</v>
      </c>
      <c r="AA37">
        <v>44</v>
      </c>
      <c r="AB37">
        <v>53</v>
      </c>
    </row>
    <row r="38" spans="1:28" x14ac:dyDescent="0.25">
      <c r="A38" t="s">
        <v>82</v>
      </c>
      <c r="B38">
        <v>45</v>
      </c>
      <c r="C38">
        <v>27.5</v>
      </c>
      <c r="D38">
        <v>3.82</v>
      </c>
      <c r="E38">
        <v>162</v>
      </c>
      <c r="F38">
        <v>6020</v>
      </c>
      <c r="G38">
        <v>5487</v>
      </c>
      <c r="H38">
        <v>619</v>
      </c>
      <c r="I38">
        <v>1357</v>
      </c>
      <c r="J38">
        <v>259</v>
      </c>
      <c r="K38">
        <v>25</v>
      </c>
      <c r="L38">
        <v>103</v>
      </c>
      <c r="M38">
        <v>572</v>
      </c>
      <c r="N38">
        <v>92</v>
      </c>
      <c r="O38">
        <v>39</v>
      </c>
      <c r="P38">
        <v>440</v>
      </c>
      <c r="Q38">
        <v>1048</v>
      </c>
      <c r="R38">
        <v>0.247</v>
      </c>
      <c r="S38">
        <v>0.30599999999999999</v>
      </c>
      <c r="T38">
        <v>0.36</v>
      </c>
      <c r="U38">
        <v>0.66600000000000004</v>
      </c>
      <c r="V38">
        <v>84</v>
      </c>
      <c r="W38">
        <v>1975</v>
      </c>
      <c r="X38">
        <v>115</v>
      </c>
      <c r="Y38">
        <v>37</v>
      </c>
      <c r="Z38">
        <v>31</v>
      </c>
      <c r="AA38">
        <v>25</v>
      </c>
      <c r="AB38">
        <v>24</v>
      </c>
    </row>
    <row r="39" spans="1:28" x14ac:dyDescent="0.25">
      <c r="A39" t="s">
        <v>83</v>
      </c>
      <c r="B39">
        <v>46</v>
      </c>
      <c r="C39">
        <v>28.1</v>
      </c>
      <c r="D39">
        <v>4.43</v>
      </c>
      <c r="E39">
        <v>162</v>
      </c>
      <c r="F39">
        <v>6335</v>
      </c>
      <c r="G39">
        <v>5600</v>
      </c>
      <c r="H39">
        <v>718</v>
      </c>
      <c r="I39">
        <v>1477</v>
      </c>
      <c r="J39">
        <v>309</v>
      </c>
      <c r="K39">
        <v>39</v>
      </c>
      <c r="L39">
        <v>108</v>
      </c>
      <c r="M39">
        <v>676</v>
      </c>
      <c r="N39">
        <v>130</v>
      </c>
      <c r="O39">
        <v>35</v>
      </c>
      <c r="P39">
        <v>571</v>
      </c>
      <c r="Q39">
        <v>1085</v>
      </c>
      <c r="R39">
        <v>0.26400000000000001</v>
      </c>
      <c r="S39">
        <v>0.33500000000000002</v>
      </c>
      <c r="T39">
        <v>0.39100000000000001</v>
      </c>
      <c r="U39">
        <v>0.72499999999999998</v>
      </c>
      <c r="V39">
        <v>103</v>
      </c>
      <c r="W39">
        <v>2188</v>
      </c>
      <c r="X39">
        <v>112</v>
      </c>
      <c r="Y39">
        <v>51</v>
      </c>
      <c r="Z39">
        <v>65</v>
      </c>
      <c r="AA39">
        <v>48</v>
      </c>
      <c r="AB39">
        <v>56</v>
      </c>
    </row>
    <row r="40" spans="1:28" x14ac:dyDescent="0.25">
      <c r="A40" t="s">
        <v>84</v>
      </c>
      <c r="B40">
        <v>48</v>
      </c>
      <c r="C40">
        <v>30.5</v>
      </c>
      <c r="D40">
        <v>5.35</v>
      </c>
      <c r="E40">
        <v>162</v>
      </c>
      <c r="F40">
        <v>6306</v>
      </c>
      <c r="G40">
        <v>5518</v>
      </c>
      <c r="H40">
        <v>867</v>
      </c>
      <c r="I40">
        <v>1452</v>
      </c>
      <c r="J40">
        <v>267</v>
      </c>
      <c r="K40">
        <v>33</v>
      </c>
      <c r="L40">
        <v>222</v>
      </c>
      <c r="M40">
        <v>836</v>
      </c>
      <c r="N40">
        <v>147</v>
      </c>
      <c r="O40">
        <v>46</v>
      </c>
      <c r="P40">
        <v>627</v>
      </c>
      <c r="Q40">
        <v>1138</v>
      </c>
      <c r="R40">
        <v>0.26300000000000001</v>
      </c>
      <c r="S40">
        <v>0.34300000000000003</v>
      </c>
      <c r="T40">
        <v>0.44400000000000001</v>
      </c>
      <c r="U40">
        <v>0.78800000000000003</v>
      </c>
      <c r="V40">
        <v>110</v>
      </c>
      <c r="W40">
        <v>2451</v>
      </c>
      <c r="X40">
        <v>146</v>
      </c>
      <c r="Y40">
        <v>74</v>
      </c>
      <c r="Z40">
        <v>36</v>
      </c>
      <c r="AA40">
        <v>51</v>
      </c>
      <c r="AB40">
        <v>34</v>
      </c>
    </row>
    <row r="41" spans="1:28" x14ac:dyDescent="0.25">
      <c r="A41" t="s">
        <v>85</v>
      </c>
      <c r="B41">
        <v>48</v>
      </c>
      <c r="C41">
        <v>29</v>
      </c>
      <c r="D41">
        <v>3.98</v>
      </c>
      <c r="E41">
        <v>162</v>
      </c>
      <c r="F41">
        <v>6104</v>
      </c>
      <c r="G41">
        <v>5452</v>
      </c>
      <c r="H41">
        <v>645</v>
      </c>
      <c r="I41">
        <v>1330</v>
      </c>
      <c r="J41">
        <v>280</v>
      </c>
      <c r="K41">
        <v>29</v>
      </c>
      <c r="L41">
        <v>114</v>
      </c>
      <c r="M41">
        <v>612</v>
      </c>
      <c r="N41">
        <v>117</v>
      </c>
      <c r="O41">
        <v>43</v>
      </c>
      <c r="P41">
        <v>509</v>
      </c>
      <c r="Q41">
        <v>1094</v>
      </c>
      <c r="R41">
        <v>0.24399999999999999</v>
      </c>
      <c r="S41">
        <v>0.311</v>
      </c>
      <c r="T41">
        <v>0.36899999999999999</v>
      </c>
      <c r="U41">
        <v>0.68</v>
      </c>
      <c r="V41">
        <v>88</v>
      </c>
      <c r="W41">
        <v>2010</v>
      </c>
      <c r="X41">
        <v>119</v>
      </c>
      <c r="Y41">
        <v>50</v>
      </c>
      <c r="Z41">
        <v>34</v>
      </c>
      <c r="AA41">
        <v>57</v>
      </c>
      <c r="AB41">
        <v>20</v>
      </c>
    </row>
    <row r="42" spans="1:28" x14ac:dyDescent="0.25">
      <c r="A42" t="s">
        <v>86</v>
      </c>
      <c r="B42">
        <v>42</v>
      </c>
      <c r="C42">
        <v>31.5</v>
      </c>
      <c r="D42">
        <v>4.4000000000000004</v>
      </c>
      <c r="E42">
        <v>162</v>
      </c>
      <c r="F42">
        <v>6279</v>
      </c>
      <c r="G42">
        <v>5579</v>
      </c>
      <c r="H42">
        <v>713</v>
      </c>
      <c r="I42">
        <v>1409</v>
      </c>
      <c r="J42">
        <v>258</v>
      </c>
      <c r="K42">
        <v>38</v>
      </c>
      <c r="L42">
        <v>153</v>
      </c>
      <c r="M42">
        <v>693</v>
      </c>
      <c r="N42">
        <v>96</v>
      </c>
      <c r="O42">
        <v>24</v>
      </c>
      <c r="P42">
        <v>539</v>
      </c>
      <c r="Q42">
        <v>1024</v>
      </c>
      <c r="R42">
        <v>0.253</v>
      </c>
      <c r="S42">
        <v>0.32300000000000001</v>
      </c>
      <c r="T42">
        <v>0.39500000000000002</v>
      </c>
      <c r="U42">
        <v>0.71699999999999997</v>
      </c>
      <c r="V42">
        <v>96</v>
      </c>
      <c r="W42">
        <v>2202</v>
      </c>
      <c r="X42">
        <v>108</v>
      </c>
      <c r="Y42">
        <v>56</v>
      </c>
      <c r="Z42">
        <v>65</v>
      </c>
      <c r="AA42">
        <v>38</v>
      </c>
      <c r="AB42">
        <v>52</v>
      </c>
    </row>
    <row r="43" spans="1:28" x14ac:dyDescent="0.25">
      <c r="A43" t="s">
        <v>87</v>
      </c>
      <c r="B43">
        <v>52</v>
      </c>
      <c r="C43">
        <v>27.2</v>
      </c>
      <c r="D43">
        <v>3.77</v>
      </c>
      <c r="E43">
        <v>162</v>
      </c>
      <c r="F43">
        <v>6064</v>
      </c>
      <c r="G43">
        <v>5421</v>
      </c>
      <c r="H43">
        <v>610</v>
      </c>
      <c r="I43">
        <v>1325</v>
      </c>
      <c r="J43">
        <v>277</v>
      </c>
      <c r="K43">
        <v>35</v>
      </c>
      <c r="L43">
        <v>107</v>
      </c>
      <c r="M43">
        <v>580</v>
      </c>
      <c r="N43">
        <v>108</v>
      </c>
      <c r="O43">
        <v>52</v>
      </c>
      <c r="P43">
        <v>489</v>
      </c>
      <c r="Q43">
        <v>1308</v>
      </c>
      <c r="R43">
        <v>0.24399999999999999</v>
      </c>
      <c r="S43">
        <v>0.309</v>
      </c>
      <c r="T43">
        <v>0.36799999999999999</v>
      </c>
      <c r="U43">
        <v>0.67600000000000005</v>
      </c>
      <c r="V43">
        <v>90</v>
      </c>
      <c r="W43">
        <v>1993</v>
      </c>
      <c r="X43">
        <v>123</v>
      </c>
      <c r="Y43">
        <v>34</v>
      </c>
      <c r="Z43">
        <v>75</v>
      </c>
      <c r="AA43">
        <v>44</v>
      </c>
      <c r="AB43">
        <v>31</v>
      </c>
    </row>
    <row r="44" spans="1:28" x14ac:dyDescent="0.25">
      <c r="A44" t="s">
        <v>88</v>
      </c>
      <c r="B44">
        <v>48</v>
      </c>
      <c r="C44">
        <v>28</v>
      </c>
      <c r="D44">
        <v>3.66</v>
      </c>
      <c r="E44">
        <v>162</v>
      </c>
      <c r="F44">
        <v>6074</v>
      </c>
      <c r="G44">
        <v>5417</v>
      </c>
      <c r="H44">
        <v>593</v>
      </c>
      <c r="I44">
        <v>1284</v>
      </c>
      <c r="J44">
        <v>247</v>
      </c>
      <c r="K44">
        <v>42</v>
      </c>
      <c r="L44">
        <v>91</v>
      </c>
      <c r="M44">
        <v>563</v>
      </c>
      <c r="N44">
        <v>170</v>
      </c>
      <c r="O44">
        <v>44</v>
      </c>
      <c r="P44">
        <v>501</v>
      </c>
      <c r="Q44">
        <v>1320</v>
      </c>
      <c r="R44">
        <v>0.23699999999999999</v>
      </c>
      <c r="S44">
        <v>0.30499999999999999</v>
      </c>
      <c r="T44">
        <v>0.34899999999999998</v>
      </c>
      <c r="U44">
        <v>0.65300000000000002</v>
      </c>
      <c r="V44">
        <v>85</v>
      </c>
      <c r="W44">
        <v>1888</v>
      </c>
      <c r="X44">
        <v>105</v>
      </c>
      <c r="Y44">
        <v>48</v>
      </c>
      <c r="Z44">
        <v>55</v>
      </c>
      <c r="AA44">
        <v>47</v>
      </c>
      <c r="AB44">
        <v>42</v>
      </c>
    </row>
    <row r="45" spans="1:28" x14ac:dyDescent="0.25">
      <c r="A45" t="s">
        <v>89</v>
      </c>
      <c r="B45">
        <v>47</v>
      </c>
      <c r="C45">
        <v>29.3</v>
      </c>
      <c r="D45">
        <v>3.43</v>
      </c>
      <c r="E45">
        <v>162</v>
      </c>
      <c r="F45">
        <v>5972</v>
      </c>
      <c r="G45">
        <v>5421</v>
      </c>
      <c r="H45">
        <v>556</v>
      </c>
      <c r="I45">
        <v>1263</v>
      </c>
      <c r="J45">
        <v>253</v>
      </c>
      <c r="K45">
        <v>22</v>
      </c>
      <c r="L45">
        <v>109</v>
      </c>
      <c r="M45">
        <v>534</v>
      </c>
      <c r="N45">
        <v>125</v>
      </c>
      <c r="O45">
        <v>40</v>
      </c>
      <c r="P45">
        <v>435</v>
      </c>
      <c r="Q45">
        <v>1280</v>
      </c>
      <c r="R45">
        <v>0.23300000000000001</v>
      </c>
      <c r="S45">
        <v>0.29199999999999998</v>
      </c>
      <c r="T45">
        <v>0.34799999999999998</v>
      </c>
      <c r="U45">
        <v>0.64</v>
      </c>
      <c r="V45">
        <v>84</v>
      </c>
      <c r="W45">
        <v>1887</v>
      </c>
      <c r="X45">
        <v>82</v>
      </c>
      <c r="Y45">
        <v>37</v>
      </c>
      <c r="Z45">
        <v>38</v>
      </c>
      <c r="AA45">
        <v>41</v>
      </c>
      <c r="AB45">
        <v>33</v>
      </c>
    </row>
    <row r="46" spans="1:28" x14ac:dyDescent="0.25">
      <c r="A46" t="s">
        <v>90</v>
      </c>
      <c r="B46">
        <v>44</v>
      </c>
      <c r="C46">
        <v>30.2</v>
      </c>
      <c r="D46">
        <v>3.52</v>
      </c>
      <c r="E46">
        <v>162</v>
      </c>
      <c r="F46">
        <v>6091</v>
      </c>
      <c r="G46">
        <v>5486</v>
      </c>
      <c r="H46">
        <v>570</v>
      </c>
      <c r="I46">
        <v>1327</v>
      </c>
      <c r="J46">
        <v>282</v>
      </c>
      <c r="K46">
        <v>24</v>
      </c>
      <c r="L46">
        <v>121</v>
      </c>
      <c r="M46">
        <v>534</v>
      </c>
      <c r="N46">
        <v>85</v>
      </c>
      <c r="O46">
        <v>51</v>
      </c>
      <c r="P46">
        <v>448</v>
      </c>
      <c r="Q46">
        <v>1122</v>
      </c>
      <c r="R46">
        <v>0.24199999999999999</v>
      </c>
      <c r="S46">
        <v>0.30299999999999999</v>
      </c>
      <c r="T46">
        <v>0.36799999999999999</v>
      </c>
      <c r="U46">
        <v>0.67100000000000004</v>
      </c>
      <c r="V46">
        <v>91</v>
      </c>
      <c r="W46">
        <v>2020</v>
      </c>
      <c r="X46">
        <v>117</v>
      </c>
      <c r="Y46">
        <v>52</v>
      </c>
      <c r="Z46">
        <v>62</v>
      </c>
      <c r="AA46">
        <v>43</v>
      </c>
      <c r="AB46">
        <v>47</v>
      </c>
    </row>
    <row r="47" spans="1:28" x14ac:dyDescent="0.25">
      <c r="A47" t="s">
        <v>91</v>
      </c>
      <c r="B47">
        <v>46</v>
      </c>
      <c r="C47">
        <v>29.3</v>
      </c>
      <c r="D47">
        <v>4.7</v>
      </c>
      <c r="E47">
        <v>162</v>
      </c>
      <c r="F47">
        <v>6242</v>
      </c>
      <c r="G47">
        <v>5532</v>
      </c>
      <c r="H47">
        <v>762</v>
      </c>
      <c r="I47">
        <v>1513</v>
      </c>
      <c r="J47">
        <v>308</v>
      </c>
      <c r="K47">
        <v>22</v>
      </c>
      <c r="L47">
        <v>162</v>
      </c>
      <c r="M47">
        <v>726</v>
      </c>
      <c r="N47">
        <v>57</v>
      </c>
      <c r="O47">
        <v>39</v>
      </c>
      <c r="P47">
        <v>542</v>
      </c>
      <c r="Q47">
        <v>978</v>
      </c>
      <c r="R47">
        <v>0.27300000000000002</v>
      </c>
      <c r="S47">
        <v>0.34100000000000003</v>
      </c>
      <c r="T47">
        <v>0.42499999999999999</v>
      </c>
      <c r="U47">
        <v>0.76600000000000001</v>
      </c>
      <c r="V47">
        <v>112</v>
      </c>
      <c r="W47">
        <v>2351</v>
      </c>
      <c r="X47">
        <v>169</v>
      </c>
      <c r="Y47">
        <v>44</v>
      </c>
      <c r="Z47">
        <v>84</v>
      </c>
      <c r="AA47">
        <v>40</v>
      </c>
      <c r="AB47">
        <v>64</v>
      </c>
    </row>
    <row r="48" spans="1:28" x14ac:dyDescent="0.25">
      <c r="A48" t="s">
        <v>92</v>
      </c>
      <c r="B48">
        <v>42</v>
      </c>
      <c r="C48">
        <v>28.3</v>
      </c>
      <c r="D48">
        <v>4.3600000000000003</v>
      </c>
      <c r="E48">
        <v>162</v>
      </c>
      <c r="F48">
        <v>6152</v>
      </c>
      <c r="G48">
        <v>5436</v>
      </c>
      <c r="H48">
        <v>707</v>
      </c>
      <c r="I48">
        <v>1324</v>
      </c>
      <c r="J48">
        <v>273</v>
      </c>
      <c r="K48">
        <v>37</v>
      </c>
      <c r="L48">
        <v>172</v>
      </c>
      <c r="M48">
        <v>674</v>
      </c>
      <c r="N48">
        <v>155</v>
      </c>
      <c r="O48">
        <v>62</v>
      </c>
      <c r="P48">
        <v>571</v>
      </c>
      <c r="Q48">
        <v>1193</v>
      </c>
      <c r="R48">
        <v>0.24399999999999999</v>
      </c>
      <c r="S48">
        <v>0.32200000000000001</v>
      </c>
      <c r="T48">
        <v>0.40200000000000002</v>
      </c>
      <c r="U48">
        <v>0.72399999999999998</v>
      </c>
      <c r="V48">
        <v>104</v>
      </c>
      <c r="W48">
        <v>2187</v>
      </c>
      <c r="X48">
        <v>101</v>
      </c>
      <c r="Y48">
        <v>73</v>
      </c>
      <c r="Z48">
        <v>37</v>
      </c>
      <c r="AA48">
        <v>35</v>
      </c>
      <c r="AB48">
        <v>31</v>
      </c>
    </row>
    <row r="49" spans="1:28" x14ac:dyDescent="0.25">
      <c r="A49" t="s">
        <v>93</v>
      </c>
      <c r="B49">
        <v>45</v>
      </c>
      <c r="C49">
        <v>29.2</v>
      </c>
      <c r="D49">
        <v>5.28</v>
      </c>
      <c r="E49">
        <v>162</v>
      </c>
      <c r="F49">
        <v>6261</v>
      </c>
      <c r="G49">
        <v>5659</v>
      </c>
      <c r="H49">
        <v>855</v>
      </c>
      <c r="I49">
        <v>1599</v>
      </c>
      <c r="J49">
        <v>310</v>
      </c>
      <c r="K49">
        <v>32</v>
      </c>
      <c r="L49">
        <v>210</v>
      </c>
      <c r="M49">
        <v>807</v>
      </c>
      <c r="N49">
        <v>143</v>
      </c>
      <c r="O49">
        <v>45</v>
      </c>
      <c r="P49">
        <v>475</v>
      </c>
      <c r="Q49">
        <v>930</v>
      </c>
      <c r="R49">
        <v>0.28299999999999997</v>
      </c>
      <c r="S49">
        <v>0.34</v>
      </c>
      <c r="T49">
        <v>0.46</v>
      </c>
      <c r="U49">
        <v>0.8</v>
      </c>
      <c r="V49">
        <v>110</v>
      </c>
      <c r="W49">
        <v>2603</v>
      </c>
      <c r="X49">
        <v>135</v>
      </c>
      <c r="Y49">
        <v>39</v>
      </c>
      <c r="Z49">
        <v>39</v>
      </c>
      <c r="AA49">
        <v>49</v>
      </c>
      <c r="AB49">
        <v>35</v>
      </c>
    </row>
    <row r="50" spans="1:28" x14ac:dyDescent="0.25">
      <c r="A50" t="s">
        <v>94</v>
      </c>
      <c r="B50">
        <v>53</v>
      </c>
      <c r="C50">
        <v>28.4</v>
      </c>
      <c r="D50">
        <v>4.59</v>
      </c>
      <c r="E50">
        <v>162</v>
      </c>
      <c r="F50">
        <v>6210</v>
      </c>
      <c r="G50">
        <v>5559</v>
      </c>
      <c r="H50">
        <v>743</v>
      </c>
      <c r="I50">
        <v>1384</v>
      </c>
      <c r="J50">
        <v>285</v>
      </c>
      <c r="K50">
        <v>34</v>
      </c>
      <c r="L50">
        <v>186</v>
      </c>
      <c r="M50">
        <v>704</v>
      </c>
      <c r="N50">
        <v>131</v>
      </c>
      <c r="O50">
        <v>52</v>
      </c>
      <c r="P50">
        <v>525</v>
      </c>
      <c r="Q50">
        <v>1184</v>
      </c>
      <c r="R50">
        <v>0.249</v>
      </c>
      <c r="S50">
        <v>0.317</v>
      </c>
      <c r="T50">
        <v>0.41299999999999998</v>
      </c>
      <c r="U50">
        <v>0.73</v>
      </c>
      <c r="V50">
        <v>96</v>
      </c>
      <c r="W50">
        <v>2295</v>
      </c>
      <c r="X50">
        <v>108</v>
      </c>
      <c r="Y50">
        <v>48</v>
      </c>
      <c r="Z50">
        <v>31</v>
      </c>
      <c r="AA50">
        <v>47</v>
      </c>
      <c r="AB50">
        <v>41</v>
      </c>
    </row>
    <row r="51" spans="1:28" x14ac:dyDescent="0.25">
      <c r="A51" t="s">
        <v>63</v>
      </c>
      <c r="B51">
        <v>44</v>
      </c>
      <c r="C51">
        <v>28.4</v>
      </c>
      <c r="D51">
        <v>3.88</v>
      </c>
      <c r="E51">
        <v>161</v>
      </c>
      <c r="F51">
        <v>6090</v>
      </c>
      <c r="G51">
        <v>5441</v>
      </c>
      <c r="H51">
        <v>624</v>
      </c>
      <c r="I51">
        <v>1319</v>
      </c>
      <c r="J51">
        <v>257</v>
      </c>
      <c r="K51">
        <v>22</v>
      </c>
      <c r="L51">
        <v>154</v>
      </c>
      <c r="M51">
        <v>594</v>
      </c>
      <c r="N51">
        <v>106</v>
      </c>
      <c r="O51">
        <v>38</v>
      </c>
      <c r="P51">
        <v>470</v>
      </c>
      <c r="Q51">
        <v>1323</v>
      </c>
      <c r="R51">
        <v>0.24199999999999999</v>
      </c>
      <c r="S51">
        <v>0.309</v>
      </c>
      <c r="T51">
        <v>0.38300000000000001</v>
      </c>
      <c r="U51">
        <v>0.69099999999999995</v>
      </c>
      <c r="V51">
        <v>89</v>
      </c>
      <c r="W51">
        <v>2082</v>
      </c>
      <c r="X51">
        <v>103</v>
      </c>
      <c r="Y51">
        <v>65</v>
      </c>
      <c r="Z51">
        <v>82</v>
      </c>
      <c r="AA51">
        <v>32</v>
      </c>
      <c r="AB51">
        <v>40</v>
      </c>
    </row>
  </sheetData>
  <hyperlinks>
    <hyperlink ref="A8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63"/>
  <sheetViews>
    <sheetView workbookViewId="0">
      <selection activeCell="O89" sqref="O89"/>
    </sheetView>
  </sheetViews>
  <sheetFormatPr defaultRowHeight="15" x14ac:dyDescent="0.25"/>
  <cols>
    <col min="1" max="1" width="4" bestFit="1" customWidth="1"/>
    <col min="2" max="2" width="5" bestFit="1" customWidth="1"/>
    <col min="3" max="3" width="20.5703125" bestFit="1" customWidth="1"/>
    <col min="4" max="4" width="9" bestFit="1" customWidth="1"/>
    <col min="5" max="5" width="5.28515625" bestFit="1" customWidth="1"/>
    <col min="6" max="6" width="2.85546875" bestFit="1" customWidth="1"/>
    <col min="7" max="7" width="5.28515625" bestFit="1" customWidth="1"/>
    <col min="8" max="8" width="2.85546875" bestFit="1" customWidth="1"/>
    <col min="9" max="9" width="4.42578125" bestFit="1" customWidth="1"/>
    <col min="10" max="10" width="5.7109375" bestFit="1" customWidth="1"/>
    <col min="11" max="11" width="3.85546875" bestFit="1" customWidth="1"/>
    <col min="12" max="12" width="5.7109375" bestFit="1" customWidth="1"/>
    <col min="13" max="13" width="5.28515625" bestFit="1" customWidth="1"/>
    <col min="14" max="14" width="5" bestFit="1" customWidth="1"/>
    <col min="15" max="16" width="12.85546875" bestFit="1" customWidth="1"/>
    <col min="17" max="17" width="12.28515625" bestFit="1" customWidth="1"/>
    <col min="18" max="18" width="5.42578125" bestFit="1" customWidth="1"/>
    <col min="19" max="19" width="4.5703125" bestFit="1" customWidth="1"/>
    <col min="20" max="20" width="11.28515625" bestFit="1" customWidth="1"/>
    <col min="21" max="21" width="9" bestFit="1" customWidth="1"/>
  </cols>
  <sheetData>
    <row r="1" spans="1:21" x14ac:dyDescent="0.25">
      <c r="I1">
        <f>SUMIF($F3:$F163,"",I3:I163)</f>
        <v>311</v>
      </c>
      <c r="J1">
        <f>SUMIF($F3:$F163,"",J3:J163)</f>
        <v>304</v>
      </c>
      <c r="K1">
        <f>I1+J1</f>
        <v>615</v>
      </c>
      <c r="L1">
        <f>616-K1</f>
        <v>1</v>
      </c>
    </row>
    <row r="2" spans="1:21" x14ac:dyDescent="0.25">
      <c r="A2" t="s">
        <v>95</v>
      </c>
      <c r="B2" t="s">
        <v>96</v>
      </c>
      <c r="C2" t="s">
        <v>97</v>
      </c>
      <c r="E2" t="s">
        <v>64</v>
      </c>
      <c r="G2" t="s">
        <v>98</v>
      </c>
      <c r="I2" t="s">
        <v>8</v>
      </c>
      <c r="J2" t="s">
        <v>99</v>
      </c>
      <c r="K2" t="s">
        <v>100</v>
      </c>
      <c r="L2" s="4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</row>
    <row r="3" spans="1:21" x14ac:dyDescent="0.25">
      <c r="A3">
        <v>1</v>
      </c>
      <c r="B3">
        <v>1</v>
      </c>
      <c r="C3" t="s">
        <v>111</v>
      </c>
      <c r="D3" t="s">
        <v>112</v>
      </c>
      <c r="E3" t="s">
        <v>63</v>
      </c>
      <c r="G3" t="s">
        <v>67</v>
      </c>
      <c r="H3" t="s">
        <v>113</v>
      </c>
      <c r="I3">
        <v>0</v>
      </c>
      <c r="J3">
        <v>2</v>
      </c>
      <c r="L3" s="4" t="s">
        <v>114</v>
      </c>
      <c r="M3">
        <v>5</v>
      </c>
      <c r="N3">
        <v>1</v>
      </c>
      <c r="O3" t="s">
        <v>115</v>
      </c>
      <c r="P3" t="s">
        <v>116</v>
      </c>
      <c r="Q3" t="s">
        <v>117</v>
      </c>
      <c r="R3" s="3">
        <v>0.10555555555555556</v>
      </c>
      <c r="S3" t="s">
        <v>118</v>
      </c>
      <c r="T3">
        <v>39055</v>
      </c>
      <c r="U3" t="s">
        <v>119</v>
      </c>
    </row>
    <row r="4" spans="1:21" x14ac:dyDescent="0.25">
      <c r="A4">
        <v>2</v>
      </c>
      <c r="B4">
        <v>2</v>
      </c>
      <c r="C4" t="s">
        <v>120</v>
      </c>
      <c r="D4" t="s">
        <v>112</v>
      </c>
      <c r="E4" t="s">
        <v>63</v>
      </c>
      <c r="G4" t="s">
        <v>67</v>
      </c>
      <c r="H4" t="s">
        <v>121</v>
      </c>
      <c r="I4">
        <v>6</v>
      </c>
      <c r="J4">
        <v>3</v>
      </c>
      <c r="L4" s="4" t="s">
        <v>577</v>
      </c>
      <c r="M4">
        <v>2</v>
      </c>
      <c r="N4">
        <v>1</v>
      </c>
      <c r="O4" t="s">
        <v>122</v>
      </c>
      <c r="P4" t="s">
        <v>123</v>
      </c>
      <c r="Q4" t="s">
        <v>124</v>
      </c>
      <c r="R4" s="3">
        <v>0.12222222222222223</v>
      </c>
      <c r="S4" t="s">
        <v>118</v>
      </c>
      <c r="T4">
        <v>21941</v>
      </c>
      <c r="U4" t="s">
        <v>125</v>
      </c>
    </row>
    <row r="5" spans="1:21" x14ac:dyDescent="0.25">
      <c r="A5">
        <v>3</v>
      </c>
      <c r="B5">
        <v>3</v>
      </c>
      <c r="C5" t="s">
        <v>126</v>
      </c>
      <c r="D5" t="s">
        <v>112</v>
      </c>
      <c r="E5" t="s">
        <v>63</v>
      </c>
      <c r="G5" t="s">
        <v>67</v>
      </c>
      <c r="H5" t="s">
        <v>113</v>
      </c>
      <c r="I5">
        <v>2</v>
      </c>
      <c r="J5">
        <v>11</v>
      </c>
      <c r="L5" s="4" t="s">
        <v>578</v>
      </c>
      <c r="M5">
        <v>4</v>
      </c>
      <c r="N5">
        <v>2</v>
      </c>
      <c r="O5" t="s">
        <v>127</v>
      </c>
      <c r="P5" t="s">
        <v>128</v>
      </c>
      <c r="R5" s="3">
        <v>0.11597222222222221</v>
      </c>
      <c r="S5" t="s">
        <v>118</v>
      </c>
      <c r="T5">
        <v>22210</v>
      </c>
      <c r="U5" t="s">
        <v>119</v>
      </c>
    </row>
    <row r="6" spans="1:21" hidden="1" x14ac:dyDescent="0.25">
      <c r="A6">
        <v>4</v>
      </c>
      <c r="B6">
        <v>4</v>
      </c>
      <c r="C6" t="s">
        <v>129</v>
      </c>
      <c r="D6" t="s">
        <v>112</v>
      </c>
      <c r="E6" t="s">
        <v>63</v>
      </c>
      <c r="F6" t="s">
        <v>130</v>
      </c>
      <c r="G6" t="s">
        <v>76</v>
      </c>
      <c r="H6" t="s">
        <v>113</v>
      </c>
      <c r="I6">
        <v>2</v>
      </c>
      <c r="J6">
        <v>3</v>
      </c>
      <c r="K6">
        <v>10</v>
      </c>
      <c r="L6" s="4" t="s">
        <v>579</v>
      </c>
      <c r="M6">
        <v>5</v>
      </c>
      <c r="N6">
        <v>2</v>
      </c>
      <c r="O6" t="s">
        <v>131</v>
      </c>
      <c r="P6" t="s">
        <v>132</v>
      </c>
      <c r="R6" s="3">
        <v>0.14583333333333334</v>
      </c>
      <c r="S6" t="s">
        <v>133</v>
      </c>
      <c r="T6">
        <v>10482</v>
      </c>
      <c r="U6" t="s">
        <v>134</v>
      </c>
    </row>
    <row r="7" spans="1:21" hidden="1" x14ac:dyDescent="0.25">
      <c r="A7">
        <v>5</v>
      </c>
      <c r="B7">
        <v>5</v>
      </c>
      <c r="C7" t="s">
        <v>135</v>
      </c>
      <c r="D7" t="s">
        <v>112</v>
      </c>
      <c r="E7" t="s">
        <v>63</v>
      </c>
      <c r="F7" t="s">
        <v>130</v>
      </c>
      <c r="G7" t="s">
        <v>76</v>
      </c>
      <c r="H7" t="s">
        <v>113</v>
      </c>
      <c r="I7">
        <v>4</v>
      </c>
      <c r="J7">
        <v>7</v>
      </c>
      <c r="L7" s="4" t="s">
        <v>580</v>
      </c>
      <c r="M7">
        <v>5</v>
      </c>
      <c r="N7">
        <v>3</v>
      </c>
      <c r="O7" t="s">
        <v>136</v>
      </c>
      <c r="P7" t="s">
        <v>137</v>
      </c>
      <c r="Q7" t="s">
        <v>138</v>
      </c>
      <c r="R7" s="3">
        <v>0.13263888888888889</v>
      </c>
      <c r="S7" t="s">
        <v>133</v>
      </c>
      <c r="T7">
        <v>13825</v>
      </c>
      <c r="U7" t="s">
        <v>139</v>
      </c>
    </row>
    <row r="8" spans="1:21" hidden="1" x14ac:dyDescent="0.25">
      <c r="A8">
        <v>6</v>
      </c>
      <c r="B8">
        <v>6</v>
      </c>
      <c r="C8" t="s">
        <v>140</v>
      </c>
      <c r="D8" t="s">
        <v>112</v>
      </c>
      <c r="E8" t="s">
        <v>63</v>
      </c>
      <c r="F8" t="s">
        <v>130</v>
      </c>
      <c r="G8" t="s">
        <v>76</v>
      </c>
      <c r="H8" t="s">
        <v>121</v>
      </c>
      <c r="I8">
        <v>5</v>
      </c>
      <c r="J8">
        <v>3</v>
      </c>
      <c r="K8">
        <v>11</v>
      </c>
      <c r="L8" s="4" t="s">
        <v>581</v>
      </c>
      <c r="M8">
        <v>5</v>
      </c>
      <c r="N8">
        <v>3</v>
      </c>
      <c r="O8" t="s">
        <v>141</v>
      </c>
      <c r="P8" t="s">
        <v>131</v>
      </c>
      <c r="Q8" t="s">
        <v>124</v>
      </c>
      <c r="R8" s="3">
        <v>0.14166666666666666</v>
      </c>
      <c r="S8" t="s">
        <v>133</v>
      </c>
      <c r="T8">
        <v>10696</v>
      </c>
      <c r="U8" t="s">
        <v>125</v>
      </c>
    </row>
    <row r="9" spans="1:21" hidden="1" x14ac:dyDescent="0.25">
      <c r="A9">
        <v>7</v>
      </c>
      <c r="B9">
        <v>7</v>
      </c>
      <c r="C9" t="s">
        <v>142</v>
      </c>
      <c r="D9" t="s">
        <v>112</v>
      </c>
      <c r="E9" t="s">
        <v>63</v>
      </c>
      <c r="F9" t="s">
        <v>130</v>
      </c>
      <c r="G9" t="s">
        <v>83</v>
      </c>
      <c r="H9" t="s">
        <v>121</v>
      </c>
      <c r="I9">
        <v>6</v>
      </c>
      <c r="J9">
        <v>2</v>
      </c>
      <c r="L9" s="4" t="s">
        <v>582</v>
      </c>
      <c r="M9">
        <v>4</v>
      </c>
      <c r="N9">
        <v>2</v>
      </c>
      <c r="O9" t="s">
        <v>128</v>
      </c>
      <c r="P9" t="s">
        <v>143</v>
      </c>
      <c r="R9" s="3">
        <v>0.13402777777777777</v>
      </c>
      <c r="S9" t="s">
        <v>118</v>
      </c>
      <c r="T9">
        <v>41075</v>
      </c>
      <c r="U9" t="s">
        <v>144</v>
      </c>
    </row>
    <row r="10" spans="1:21" hidden="1" x14ac:dyDescent="0.25">
      <c r="A10">
        <v>8</v>
      </c>
      <c r="B10">
        <v>8</v>
      </c>
      <c r="C10" t="s">
        <v>145</v>
      </c>
      <c r="D10" t="s">
        <v>112</v>
      </c>
      <c r="E10" t="s">
        <v>63</v>
      </c>
      <c r="F10" t="s">
        <v>130</v>
      </c>
      <c r="G10" t="s">
        <v>83</v>
      </c>
      <c r="H10" t="s">
        <v>113</v>
      </c>
      <c r="I10">
        <v>4</v>
      </c>
      <c r="J10">
        <v>8</v>
      </c>
      <c r="L10" s="4" t="s">
        <v>583</v>
      </c>
      <c r="M10">
        <v>5</v>
      </c>
      <c r="N10">
        <v>3</v>
      </c>
      <c r="O10" t="s">
        <v>146</v>
      </c>
      <c r="P10" t="s">
        <v>147</v>
      </c>
      <c r="Q10" t="s">
        <v>148</v>
      </c>
      <c r="R10" s="3">
        <v>0.1388888888888889</v>
      </c>
      <c r="S10" t="s">
        <v>133</v>
      </c>
      <c r="T10">
        <v>31696</v>
      </c>
      <c r="U10" t="s">
        <v>119</v>
      </c>
    </row>
    <row r="11" spans="1:21" hidden="1" x14ac:dyDescent="0.25">
      <c r="A11">
        <v>9</v>
      </c>
      <c r="B11">
        <v>9</v>
      </c>
      <c r="C11" t="s">
        <v>149</v>
      </c>
      <c r="D11" t="s">
        <v>112</v>
      </c>
      <c r="E11" t="s">
        <v>63</v>
      </c>
      <c r="F11" t="s">
        <v>130</v>
      </c>
      <c r="G11" t="s">
        <v>83</v>
      </c>
      <c r="H11" t="s">
        <v>121</v>
      </c>
      <c r="I11">
        <v>7</v>
      </c>
      <c r="J11">
        <v>3</v>
      </c>
      <c r="K11">
        <v>11</v>
      </c>
      <c r="L11" s="4" t="s">
        <v>584</v>
      </c>
      <c r="M11">
        <v>3</v>
      </c>
      <c r="N11">
        <v>3</v>
      </c>
      <c r="O11" t="s">
        <v>132</v>
      </c>
      <c r="P11" t="s">
        <v>150</v>
      </c>
      <c r="R11" s="3">
        <v>0.16180555555555556</v>
      </c>
      <c r="S11" t="s">
        <v>118</v>
      </c>
      <c r="T11">
        <v>35157</v>
      </c>
      <c r="U11" t="s">
        <v>125</v>
      </c>
    </row>
    <row r="12" spans="1:21" x14ac:dyDescent="0.25">
      <c r="A12">
        <v>10</v>
      </c>
      <c r="B12">
        <v>10</v>
      </c>
      <c r="C12" t="s">
        <v>151</v>
      </c>
      <c r="D12" t="s">
        <v>112</v>
      </c>
      <c r="E12" t="s">
        <v>63</v>
      </c>
      <c r="G12" t="s">
        <v>86</v>
      </c>
      <c r="H12" t="s">
        <v>121</v>
      </c>
      <c r="I12">
        <v>7</v>
      </c>
      <c r="J12">
        <v>4</v>
      </c>
      <c r="L12" s="4" t="s">
        <v>585</v>
      </c>
      <c r="M12">
        <v>2</v>
      </c>
      <c r="N12">
        <v>2</v>
      </c>
      <c r="O12" t="s">
        <v>116</v>
      </c>
      <c r="P12" t="s">
        <v>152</v>
      </c>
      <c r="Q12" t="s">
        <v>124</v>
      </c>
      <c r="R12" s="3">
        <v>0.1125</v>
      </c>
      <c r="S12" t="s">
        <v>133</v>
      </c>
      <c r="T12">
        <v>13413</v>
      </c>
      <c r="U12" t="s">
        <v>144</v>
      </c>
    </row>
    <row r="13" spans="1:21" x14ac:dyDescent="0.25">
      <c r="A13">
        <v>11</v>
      </c>
      <c r="B13">
        <v>11</v>
      </c>
      <c r="C13" t="s">
        <v>153</v>
      </c>
      <c r="D13" t="s">
        <v>112</v>
      </c>
      <c r="E13" t="s">
        <v>63</v>
      </c>
      <c r="G13" t="s">
        <v>86</v>
      </c>
      <c r="H13" t="s">
        <v>113</v>
      </c>
      <c r="I13">
        <v>2</v>
      </c>
      <c r="J13">
        <v>3</v>
      </c>
      <c r="L13" s="4" t="s">
        <v>586</v>
      </c>
      <c r="M13">
        <v>3</v>
      </c>
      <c r="N13">
        <v>3</v>
      </c>
      <c r="O13" t="s">
        <v>154</v>
      </c>
      <c r="P13" t="s">
        <v>122</v>
      </c>
      <c r="R13" s="3">
        <v>0.10416666666666667</v>
      </c>
      <c r="S13" t="s">
        <v>133</v>
      </c>
      <c r="T13">
        <v>16914</v>
      </c>
      <c r="U13" t="s">
        <v>119</v>
      </c>
    </row>
    <row r="14" spans="1:21" x14ac:dyDescent="0.25">
      <c r="A14">
        <v>12</v>
      </c>
      <c r="B14">
        <v>12</v>
      </c>
      <c r="C14" t="s">
        <v>155</v>
      </c>
      <c r="D14" t="s">
        <v>112</v>
      </c>
      <c r="E14" t="s">
        <v>63</v>
      </c>
      <c r="G14" t="s">
        <v>86</v>
      </c>
      <c r="H14" t="s">
        <v>113</v>
      </c>
      <c r="I14">
        <v>0</v>
      </c>
      <c r="J14">
        <v>4</v>
      </c>
      <c r="L14" s="4" t="s">
        <v>587</v>
      </c>
      <c r="M14">
        <v>3</v>
      </c>
      <c r="N14">
        <v>4</v>
      </c>
      <c r="O14" t="s">
        <v>156</v>
      </c>
      <c r="P14" t="s">
        <v>128</v>
      </c>
      <c r="R14" s="3">
        <v>8.7500000000000008E-2</v>
      </c>
      <c r="S14" t="s">
        <v>133</v>
      </c>
      <c r="T14">
        <v>24875</v>
      </c>
      <c r="U14" t="s">
        <v>134</v>
      </c>
    </row>
    <row r="15" spans="1:21" x14ac:dyDescent="0.25">
      <c r="A15">
        <v>13</v>
      </c>
      <c r="B15">
        <v>13</v>
      </c>
      <c r="C15" t="s">
        <v>157</v>
      </c>
      <c r="D15" t="s">
        <v>112</v>
      </c>
      <c r="E15" t="s">
        <v>63</v>
      </c>
      <c r="G15" t="s">
        <v>81</v>
      </c>
      <c r="H15" t="s">
        <v>121</v>
      </c>
      <c r="I15">
        <v>4</v>
      </c>
      <c r="J15">
        <v>3</v>
      </c>
      <c r="K15">
        <v>10</v>
      </c>
      <c r="L15" s="4" t="s">
        <v>588</v>
      </c>
      <c r="M15">
        <v>3</v>
      </c>
      <c r="N15">
        <v>3</v>
      </c>
      <c r="O15" t="s">
        <v>137</v>
      </c>
      <c r="P15" t="s">
        <v>158</v>
      </c>
      <c r="R15" s="3">
        <v>0.13541666666666666</v>
      </c>
      <c r="S15" t="s">
        <v>133</v>
      </c>
      <c r="T15">
        <v>17217</v>
      </c>
      <c r="U15" t="s">
        <v>125</v>
      </c>
    </row>
    <row r="16" spans="1:21" x14ac:dyDescent="0.25">
      <c r="A16">
        <v>14</v>
      </c>
      <c r="B16">
        <v>14</v>
      </c>
      <c r="C16" t="s">
        <v>159</v>
      </c>
      <c r="D16" t="s">
        <v>112</v>
      </c>
      <c r="E16" t="s">
        <v>63</v>
      </c>
      <c r="G16" t="s">
        <v>81</v>
      </c>
      <c r="H16" t="s">
        <v>121</v>
      </c>
      <c r="I16">
        <v>8</v>
      </c>
      <c r="J16">
        <v>4</v>
      </c>
      <c r="L16" s="4" t="s">
        <v>589</v>
      </c>
      <c r="M16">
        <v>3</v>
      </c>
      <c r="N16">
        <v>2.5</v>
      </c>
      <c r="O16" t="s">
        <v>160</v>
      </c>
      <c r="P16" t="s">
        <v>161</v>
      </c>
      <c r="R16" s="3">
        <v>0.125</v>
      </c>
      <c r="S16" t="s">
        <v>118</v>
      </c>
      <c r="T16">
        <v>0</v>
      </c>
      <c r="U16" t="s">
        <v>144</v>
      </c>
    </row>
    <row r="17" spans="1:21" x14ac:dyDescent="0.25">
      <c r="A17">
        <v>15</v>
      </c>
      <c r="B17">
        <v>15</v>
      </c>
      <c r="C17" t="s">
        <v>162</v>
      </c>
      <c r="D17" t="s">
        <v>112</v>
      </c>
      <c r="E17" t="s">
        <v>63</v>
      </c>
      <c r="G17" t="s">
        <v>81</v>
      </c>
      <c r="H17" t="s">
        <v>121</v>
      </c>
      <c r="I17">
        <v>5</v>
      </c>
      <c r="J17">
        <v>1</v>
      </c>
      <c r="L17" s="4" t="s">
        <v>590</v>
      </c>
      <c r="M17">
        <v>3</v>
      </c>
      <c r="N17">
        <v>2.5</v>
      </c>
      <c r="O17" t="s">
        <v>116</v>
      </c>
      <c r="P17" t="s">
        <v>163</v>
      </c>
      <c r="Q17" t="s">
        <v>132</v>
      </c>
      <c r="R17" s="3">
        <v>0.10972222222222222</v>
      </c>
      <c r="S17" t="s">
        <v>133</v>
      </c>
      <c r="T17">
        <v>23047</v>
      </c>
      <c r="U17" t="s">
        <v>164</v>
      </c>
    </row>
    <row r="18" spans="1:21" hidden="1" x14ac:dyDescent="0.25">
      <c r="A18">
        <v>16</v>
      </c>
      <c r="B18">
        <v>16</v>
      </c>
      <c r="C18" t="s">
        <v>165</v>
      </c>
      <c r="D18" t="s">
        <v>112</v>
      </c>
      <c r="E18" t="s">
        <v>63</v>
      </c>
      <c r="F18" t="s">
        <v>130</v>
      </c>
      <c r="G18" t="s">
        <v>91</v>
      </c>
      <c r="H18" t="s">
        <v>121</v>
      </c>
      <c r="I18">
        <v>8</v>
      </c>
      <c r="J18">
        <v>6</v>
      </c>
      <c r="L18" s="4" t="s">
        <v>591</v>
      </c>
      <c r="M18">
        <v>3</v>
      </c>
      <c r="N18">
        <v>2</v>
      </c>
      <c r="O18" t="s">
        <v>122</v>
      </c>
      <c r="P18" t="s">
        <v>166</v>
      </c>
      <c r="Q18" t="s">
        <v>132</v>
      </c>
      <c r="R18" s="3">
        <v>0.1388888888888889</v>
      </c>
      <c r="S18" t="s">
        <v>118</v>
      </c>
      <c r="T18">
        <v>32340</v>
      </c>
      <c r="U18" t="s">
        <v>167</v>
      </c>
    </row>
    <row r="19" spans="1:21" hidden="1" x14ac:dyDescent="0.25">
      <c r="A19">
        <v>17</v>
      </c>
      <c r="B19">
        <v>17</v>
      </c>
      <c r="C19" t="s">
        <v>168</v>
      </c>
      <c r="D19" t="s">
        <v>112</v>
      </c>
      <c r="E19" t="s">
        <v>63</v>
      </c>
      <c r="F19" t="s">
        <v>130</v>
      </c>
      <c r="G19" t="s">
        <v>91</v>
      </c>
      <c r="H19" t="s">
        <v>113</v>
      </c>
      <c r="I19">
        <v>3</v>
      </c>
      <c r="J19">
        <v>5</v>
      </c>
      <c r="L19" s="4" t="s">
        <v>592</v>
      </c>
      <c r="M19">
        <v>3</v>
      </c>
      <c r="N19">
        <v>2</v>
      </c>
      <c r="O19" t="s">
        <v>169</v>
      </c>
      <c r="P19" t="s">
        <v>128</v>
      </c>
      <c r="Q19" t="s">
        <v>170</v>
      </c>
      <c r="R19" s="3">
        <v>0.11319444444444444</v>
      </c>
      <c r="S19" t="s">
        <v>133</v>
      </c>
      <c r="T19">
        <v>33714</v>
      </c>
      <c r="U19" t="s">
        <v>119</v>
      </c>
    </row>
    <row r="20" spans="1:21" hidden="1" x14ac:dyDescent="0.25">
      <c r="A20">
        <v>18</v>
      </c>
      <c r="B20">
        <v>18</v>
      </c>
      <c r="C20" t="s">
        <v>171</v>
      </c>
      <c r="D20" t="s">
        <v>112</v>
      </c>
      <c r="E20" t="s">
        <v>63</v>
      </c>
      <c r="F20" t="s">
        <v>130</v>
      </c>
      <c r="G20" t="s">
        <v>91</v>
      </c>
      <c r="H20" t="s">
        <v>113</v>
      </c>
      <c r="I20">
        <v>0</v>
      </c>
      <c r="J20">
        <v>5</v>
      </c>
      <c r="L20" s="4" t="s">
        <v>593</v>
      </c>
      <c r="M20">
        <v>3</v>
      </c>
      <c r="N20">
        <v>3</v>
      </c>
      <c r="O20" t="s">
        <v>172</v>
      </c>
      <c r="P20" t="s">
        <v>147</v>
      </c>
      <c r="R20" s="3">
        <v>9.8611111111111108E-2</v>
      </c>
      <c r="S20" t="s">
        <v>118</v>
      </c>
      <c r="T20">
        <v>36160</v>
      </c>
      <c r="U20" t="s">
        <v>134</v>
      </c>
    </row>
    <row r="21" spans="1:21" hidden="1" x14ac:dyDescent="0.25">
      <c r="A21">
        <v>19</v>
      </c>
      <c r="B21">
        <v>19</v>
      </c>
      <c r="C21" t="s">
        <v>173</v>
      </c>
      <c r="D21" t="s">
        <v>112</v>
      </c>
      <c r="E21" t="s">
        <v>63</v>
      </c>
      <c r="F21" t="s">
        <v>130</v>
      </c>
      <c r="G21" t="s">
        <v>87</v>
      </c>
      <c r="H21" t="s">
        <v>113</v>
      </c>
      <c r="I21">
        <v>2</v>
      </c>
      <c r="J21">
        <v>7</v>
      </c>
      <c r="L21" s="4" t="s">
        <v>594</v>
      </c>
      <c r="M21">
        <v>3</v>
      </c>
      <c r="N21">
        <v>4.5</v>
      </c>
      <c r="O21" t="s">
        <v>174</v>
      </c>
      <c r="P21" t="s">
        <v>116</v>
      </c>
      <c r="R21" s="3">
        <v>0.10416666666666667</v>
      </c>
      <c r="S21" t="s">
        <v>133</v>
      </c>
      <c r="T21">
        <v>18262</v>
      </c>
      <c r="U21" t="s">
        <v>139</v>
      </c>
    </row>
    <row r="22" spans="1:21" hidden="1" x14ac:dyDescent="0.25">
      <c r="A22">
        <v>20</v>
      </c>
      <c r="B22">
        <v>20</v>
      </c>
      <c r="C22" t="s">
        <v>175</v>
      </c>
      <c r="D22" t="s">
        <v>112</v>
      </c>
      <c r="E22" t="s">
        <v>63</v>
      </c>
      <c r="F22" t="s">
        <v>130</v>
      </c>
      <c r="G22" t="s">
        <v>87</v>
      </c>
      <c r="H22" t="s">
        <v>121</v>
      </c>
      <c r="I22">
        <v>6</v>
      </c>
      <c r="J22">
        <v>3</v>
      </c>
      <c r="L22" s="4" t="s">
        <v>595</v>
      </c>
      <c r="M22">
        <v>3</v>
      </c>
      <c r="N22">
        <v>4.5</v>
      </c>
      <c r="O22" t="s">
        <v>160</v>
      </c>
      <c r="P22" t="s">
        <v>176</v>
      </c>
      <c r="Q22" t="s">
        <v>132</v>
      </c>
      <c r="R22" s="3">
        <v>0.12430555555555556</v>
      </c>
      <c r="S22" t="s">
        <v>118</v>
      </c>
      <c r="T22">
        <v>9520</v>
      </c>
      <c r="U22" t="s">
        <v>125</v>
      </c>
    </row>
    <row r="23" spans="1:21" hidden="1" x14ac:dyDescent="0.25">
      <c r="A23">
        <v>21</v>
      </c>
      <c r="B23">
        <v>21</v>
      </c>
      <c r="C23" t="s">
        <v>177</v>
      </c>
      <c r="D23" t="s">
        <v>112</v>
      </c>
      <c r="E23" t="s">
        <v>63</v>
      </c>
      <c r="F23" t="s">
        <v>130</v>
      </c>
      <c r="G23" t="s">
        <v>87</v>
      </c>
      <c r="H23" t="s">
        <v>113</v>
      </c>
      <c r="I23">
        <v>2</v>
      </c>
      <c r="J23">
        <v>4</v>
      </c>
      <c r="L23" s="4" t="s">
        <v>596</v>
      </c>
      <c r="M23">
        <v>3</v>
      </c>
      <c r="N23">
        <v>4.5</v>
      </c>
      <c r="O23" t="s">
        <v>178</v>
      </c>
      <c r="P23" t="s">
        <v>122</v>
      </c>
      <c r="Q23" t="s">
        <v>179</v>
      </c>
      <c r="R23" s="3">
        <v>0.10902777777777778</v>
      </c>
      <c r="S23" t="s">
        <v>133</v>
      </c>
      <c r="T23">
        <v>12457</v>
      </c>
      <c r="U23" t="s">
        <v>119</v>
      </c>
    </row>
    <row r="24" spans="1:21" x14ac:dyDescent="0.25">
      <c r="A24">
        <v>22</v>
      </c>
      <c r="B24">
        <v>22</v>
      </c>
      <c r="C24" t="s">
        <v>180</v>
      </c>
      <c r="D24" t="s">
        <v>112</v>
      </c>
      <c r="E24" t="s">
        <v>63</v>
      </c>
      <c r="G24" t="s">
        <v>83</v>
      </c>
      <c r="H24" t="s">
        <v>113</v>
      </c>
      <c r="I24">
        <v>4</v>
      </c>
      <c r="J24">
        <v>6</v>
      </c>
      <c r="L24" s="4" t="s">
        <v>597</v>
      </c>
      <c r="M24">
        <v>4</v>
      </c>
      <c r="N24">
        <v>5</v>
      </c>
      <c r="O24" t="s">
        <v>181</v>
      </c>
      <c r="P24" t="s">
        <v>128</v>
      </c>
      <c r="Q24" t="s">
        <v>148</v>
      </c>
      <c r="R24" s="3">
        <v>0.12083333333333333</v>
      </c>
      <c r="S24" t="s">
        <v>133</v>
      </c>
      <c r="T24">
        <v>14603</v>
      </c>
      <c r="U24" t="s">
        <v>134</v>
      </c>
    </row>
    <row r="25" spans="1:21" x14ac:dyDescent="0.25">
      <c r="A25">
        <v>23</v>
      </c>
      <c r="B25">
        <v>23</v>
      </c>
      <c r="C25" t="s">
        <v>182</v>
      </c>
      <c r="D25" t="s">
        <v>112</v>
      </c>
      <c r="E25" t="s">
        <v>63</v>
      </c>
      <c r="G25" t="s">
        <v>83</v>
      </c>
      <c r="H25" t="s">
        <v>113</v>
      </c>
      <c r="I25">
        <v>3</v>
      </c>
      <c r="J25">
        <v>6</v>
      </c>
      <c r="L25" s="4" t="s">
        <v>598</v>
      </c>
      <c r="M25">
        <v>5</v>
      </c>
      <c r="N25">
        <v>5.5</v>
      </c>
      <c r="O25" t="s">
        <v>183</v>
      </c>
      <c r="P25" t="s">
        <v>124</v>
      </c>
      <c r="Q25" t="s">
        <v>148</v>
      </c>
      <c r="R25" s="3">
        <v>0.11597222222222221</v>
      </c>
      <c r="S25" t="s">
        <v>133</v>
      </c>
      <c r="T25">
        <v>13568</v>
      </c>
      <c r="U25" t="s">
        <v>139</v>
      </c>
    </row>
    <row r="26" spans="1:21" x14ac:dyDescent="0.25">
      <c r="A26">
        <v>24</v>
      </c>
      <c r="B26">
        <v>24</v>
      </c>
      <c r="C26" t="s">
        <v>184</v>
      </c>
      <c r="D26" t="s">
        <v>112</v>
      </c>
      <c r="E26" t="s">
        <v>63</v>
      </c>
      <c r="G26" t="s">
        <v>83</v>
      </c>
      <c r="H26" t="s">
        <v>121</v>
      </c>
      <c r="I26">
        <v>4</v>
      </c>
      <c r="J26">
        <v>3</v>
      </c>
      <c r="L26" s="4" t="s">
        <v>599</v>
      </c>
      <c r="M26">
        <v>4</v>
      </c>
      <c r="N26">
        <v>5</v>
      </c>
      <c r="O26" t="s">
        <v>116</v>
      </c>
      <c r="P26" t="s">
        <v>146</v>
      </c>
      <c r="Q26" t="s">
        <v>132</v>
      </c>
      <c r="R26" s="3">
        <v>0.10347222222222223</v>
      </c>
      <c r="S26" t="s">
        <v>133</v>
      </c>
      <c r="T26">
        <v>15142</v>
      </c>
      <c r="U26" t="s">
        <v>125</v>
      </c>
    </row>
    <row r="27" spans="1:21" x14ac:dyDescent="0.25">
      <c r="A27">
        <v>25</v>
      </c>
      <c r="B27">
        <v>25</v>
      </c>
      <c r="C27" t="s">
        <v>185</v>
      </c>
      <c r="D27" t="s">
        <v>112</v>
      </c>
      <c r="E27" t="s">
        <v>63</v>
      </c>
      <c r="G27" t="s">
        <v>90</v>
      </c>
      <c r="H27" t="s">
        <v>121</v>
      </c>
      <c r="I27">
        <v>3</v>
      </c>
      <c r="J27">
        <v>0</v>
      </c>
      <c r="L27" s="4" t="s">
        <v>600</v>
      </c>
      <c r="M27">
        <v>3</v>
      </c>
      <c r="N27">
        <v>5</v>
      </c>
      <c r="O27" t="s">
        <v>160</v>
      </c>
      <c r="P27" t="s">
        <v>186</v>
      </c>
      <c r="R27" s="3">
        <v>8.9583333333333334E-2</v>
      </c>
      <c r="S27" t="s">
        <v>133</v>
      </c>
      <c r="T27">
        <v>21399</v>
      </c>
      <c r="U27" t="s">
        <v>144</v>
      </c>
    </row>
    <row r="28" spans="1:21" x14ac:dyDescent="0.25">
      <c r="A28">
        <v>26</v>
      </c>
      <c r="B28">
        <v>26</v>
      </c>
      <c r="C28" t="s">
        <v>187</v>
      </c>
      <c r="D28" t="s">
        <v>112</v>
      </c>
      <c r="E28" t="s">
        <v>63</v>
      </c>
      <c r="G28" t="s">
        <v>90</v>
      </c>
      <c r="H28" t="s">
        <v>113</v>
      </c>
      <c r="I28">
        <v>1</v>
      </c>
      <c r="J28">
        <v>2</v>
      </c>
      <c r="L28" s="4" t="s">
        <v>601</v>
      </c>
      <c r="M28">
        <v>3</v>
      </c>
      <c r="N28">
        <v>6</v>
      </c>
      <c r="O28" t="s">
        <v>188</v>
      </c>
      <c r="P28" t="s">
        <v>122</v>
      </c>
      <c r="Q28" t="s">
        <v>189</v>
      </c>
      <c r="R28" s="3">
        <v>0.12013888888888889</v>
      </c>
      <c r="S28" t="s">
        <v>118</v>
      </c>
      <c r="T28">
        <v>28766</v>
      </c>
      <c r="U28" t="s">
        <v>119</v>
      </c>
    </row>
    <row r="29" spans="1:21" x14ac:dyDescent="0.25">
      <c r="A29">
        <v>27</v>
      </c>
      <c r="B29">
        <v>27</v>
      </c>
      <c r="C29" t="s">
        <v>190</v>
      </c>
      <c r="D29" t="s">
        <v>112</v>
      </c>
      <c r="E29" t="s">
        <v>63</v>
      </c>
      <c r="G29" t="s">
        <v>90</v>
      </c>
      <c r="H29" t="s">
        <v>121</v>
      </c>
      <c r="I29">
        <v>5</v>
      </c>
      <c r="J29">
        <v>2</v>
      </c>
      <c r="L29" s="4" t="s">
        <v>191</v>
      </c>
      <c r="M29">
        <v>3</v>
      </c>
      <c r="N29">
        <v>5</v>
      </c>
      <c r="O29" t="s">
        <v>128</v>
      </c>
      <c r="P29" t="s">
        <v>192</v>
      </c>
      <c r="Q29" t="s">
        <v>132</v>
      </c>
      <c r="R29" s="3">
        <v>0.11458333333333333</v>
      </c>
      <c r="S29" t="s">
        <v>118</v>
      </c>
      <c r="T29">
        <v>21611</v>
      </c>
      <c r="U29" t="s">
        <v>125</v>
      </c>
    </row>
    <row r="30" spans="1:21" x14ac:dyDescent="0.25">
      <c r="A30">
        <v>28</v>
      </c>
      <c r="B30">
        <v>28</v>
      </c>
      <c r="C30" t="s">
        <v>193</v>
      </c>
      <c r="D30" t="s">
        <v>112</v>
      </c>
      <c r="E30" t="s">
        <v>63</v>
      </c>
      <c r="G30" t="s">
        <v>90</v>
      </c>
      <c r="H30" t="s">
        <v>121</v>
      </c>
      <c r="I30">
        <v>2</v>
      </c>
      <c r="J30">
        <v>0</v>
      </c>
      <c r="L30" s="4" t="s">
        <v>194</v>
      </c>
      <c r="M30">
        <v>3</v>
      </c>
      <c r="N30">
        <v>4.5</v>
      </c>
      <c r="O30" t="s">
        <v>147</v>
      </c>
      <c r="P30" t="s">
        <v>195</v>
      </c>
      <c r="Q30" t="s">
        <v>132</v>
      </c>
      <c r="R30" s="3">
        <v>8.4722222222222213E-2</v>
      </c>
      <c r="S30" t="s">
        <v>133</v>
      </c>
      <c r="T30">
        <v>15342</v>
      </c>
      <c r="U30" t="s">
        <v>144</v>
      </c>
    </row>
    <row r="31" spans="1:21" hidden="1" x14ac:dyDescent="0.25">
      <c r="A31">
        <v>29</v>
      </c>
      <c r="B31">
        <v>29</v>
      </c>
      <c r="C31" t="s">
        <v>196</v>
      </c>
      <c r="D31" t="s">
        <v>112</v>
      </c>
      <c r="E31" t="s">
        <v>63</v>
      </c>
      <c r="F31" t="s">
        <v>130</v>
      </c>
      <c r="G31" t="s">
        <v>86</v>
      </c>
      <c r="H31" t="s">
        <v>113</v>
      </c>
      <c r="I31">
        <v>1</v>
      </c>
      <c r="J31">
        <v>4</v>
      </c>
      <c r="L31" s="4" t="s">
        <v>197</v>
      </c>
      <c r="M31">
        <v>4</v>
      </c>
      <c r="N31">
        <v>5.5</v>
      </c>
      <c r="O31" t="s">
        <v>198</v>
      </c>
      <c r="P31" t="s">
        <v>116</v>
      </c>
      <c r="R31" s="3">
        <v>0.1076388888888889</v>
      </c>
      <c r="S31" t="s">
        <v>133</v>
      </c>
      <c r="T31">
        <v>45695</v>
      </c>
      <c r="U31" t="s">
        <v>119</v>
      </c>
    </row>
    <row r="32" spans="1:21" hidden="1" x14ac:dyDescent="0.25">
      <c r="A32">
        <v>30</v>
      </c>
      <c r="B32">
        <v>30</v>
      </c>
      <c r="C32" t="s">
        <v>199</v>
      </c>
      <c r="D32" t="s">
        <v>112</v>
      </c>
      <c r="E32" t="s">
        <v>63</v>
      </c>
      <c r="F32" t="s">
        <v>130</v>
      </c>
      <c r="G32" t="s">
        <v>86</v>
      </c>
      <c r="H32" t="s">
        <v>113</v>
      </c>
      <c r="I32">
        <v>4</v>
      </c>
      <c r="J32">
        <v>7</v>
      </c>
      <c r="L32" s="4" t="s">
        <v>200</v>
      </c>
      <c r="M32">
        <v>4</v>
      </c>
      <c r="N32">
        <v>6.5</v>
      </c>
      <c r="O32" t="s">
        <v>201</v>
      </c>
      <c r="P32" t="s">
        <v>160</v>
      </c>
      <c r="R32" s="3">
        <v>0.11458333333333333</v>
      </c>
      <c r="S32" t="s">
        <v>133</v>
      </c>
      <c r="T32">
        <v>44123</v>
      </c>
      <c r="U32" t="s">
        <v>134</v>
      </c>
    </row>
    <row r="33" spans="1:21" hidden="1" x14ac:dyDescent="0.25">
      <c r="A33">
        <v>31</v>
      </c>
      <c r="B33">
        <v>31</v>
      </c>
      <c r="C33" t="s">
        <v>202</v>
      </c>
      <c r="D33" t="s">
        <v>112</v>
      </c>
      <c r="E33" t="s">
        <v>63</v>
      </c>
      <c r="F33" t="s">
        <v>130</v>
      </c>
      <c r="G33" t="s">
        <v>86</v>
      </c>
      <c r="H33" t="s">
        <v>113</v>
      </c>
      <c r="I33">
        <v>3</v>
      </c>
      <c r="J33">
        <v>7</v>
      </c>
      <c r="L33" s="4" t="s">
        <v>203</v>
      </c>
      <c r="M33">
        <v>4</v>
      </c>
      <c r="N33">
        <v>7.5</v>
      </c>
      <c r="O33" t="s">
        <v>154</v>
      </c>
      <c r="P33" t="s">
        <v>122</v>
      </c>
      <c r="R33" s="3">
        <v>0.12222222222222223</v>
      </c>
      <c r="S33" t="s">
        <v>133</v>
      </c>
      <c r="T33">
        <v>45316</v>
      </c>
      <c r="U33" t="s">
        <v>139</v>
      </c>
    </row>
    <row r="34" spans="1:21" hidden="1" x14ac:dyDescent="0.25">
      <c r="A34">
        <v>32</v>
      </c>
      <c r="B34">
        <v>32</v>
      </c>
      <c r="C34" t="s">
        <v>204</v>
      </c>
      <c r="D34" t="s">
        <v>112</v>
      </c>
      <c r="E34" t="s">
        <v>63</v>
      </c>
      <c r="F34" t="s">
        <v>130</v>
      </c>
      <c r="G34" t="s">
        <v>76</v>
      </c>
      <c r="H34" t="s">
        <v>121</v>
      </c>
      <c r="I34">
        <v>3</v>
      </c>
      <c r="J34">
        <v>2</v>
      </c>
      <c r="K34">
        <v>10</v>
      </c>
      <c r="L34" s="4" t="s">
        <v>205</v>
      </c>
      <c r="M34">
        <v>4</v>
      </c>
      <c r="N34">
        <v>6.5</v>
      </c>
      <c r="O34" t="s">
        <v>132</v>
      </c>
      <c r="P34" t="s">
        <v>206</v>
      </c>
      <c r="Q34" t="s">
        <v>124</v>
      </c>
      <c r="R34" s="3">
        <v>0.13958333333333334</v>
      </c>
      <c r="S34" t="s">
        <v>133</v>
      </c>
      <c r="T34">
        <v>15325</v>
      </c>
      <c r="U34" t="s">
        <v>125</v>
      </c>
    </row>
    <row r="35" spans="1:21" hidden="1" x14ac:dyDescent="0.25">
      <c r="A35">
        <v>33</v>
      </c>
      <c r="B35">
        <v>33</v>
      </c>
      <c r="C35" t="s">
        <v>207</v>
      </c>
      <c r="D35" t="s">
        <v>112</v>
      </c>
      <c r="E35" t="s">
        <v>63</v>
      </c>
      <c r="F35" t="s">
        <v>130</v>
      </c>
      <c r="G35" t="s">
        <v>76</v>
      </c>
      <c r="H35" t="s">
        <v>121</v>
      </c>
      <c r="I35">
        <v>5</v>
      </c>
      <c r="J35">
        <v>2</v>
      </c>
      <c r="L35" s="4" t="s">
        <v>208</v>
      </c>
      <c r="M35">
        <v>4</v>
      </c>
      <c r="N35">
        <v>6.5</v>
      </c>
      <c r="O35" t="s">
        <v>147</v>
      </c>
      <c r="P35" t="s">
        <v>209</v>
      </c>
      <c r="Q35" t="s">
        <v>132</v>
      </c>
      <c r="R35" s="3">
        <v>0.1111111111111111</v>
      </c>
      <c r="S35" t="s">
        <v>133</v>
      </c>
      <c r="T35">
        <v>17409</v>
      </c>
      <c r="U35" t="s">
        <v>144</v>
      </c>
    </row>
    <row r="36" spans="1:21" hidden="1" x14ac:dyDescent="0.25">
      <c r="A36">
        <v>34</v>
      </c>
      <c r="B36">
        <v>34</v>
      </c>
      <c r="C36" t="s">
        <v>210</v>
      </c>
      <c r="D36" t="s">
        <v>112</v>
      </c>
      <c r="E36" t="s">
        <v>63</v>
      </c>
      <c r="F36" t="s">
        <v>130</v>
      </c>
      <c r="G36" t="s">
        <v>76</v>
      </c>
      <c r="H36" t="s">
        <v>113</v>
      </c>
      <c r="I36">
        <v>0</v>
      </c>
      <c r="J36">
        <v>8</v>
      </c>
      <c r="L36" s="4" t="s">
        <v>211</v>
      </c>
      <c r="M36">
        <v>4</v>
      </c>
      <c r="N36">
        <v>6.5</v>
      </c>
      <c r="O36" t="s">
        <v>212</v>
      </c>
      <c r="P36" t="s">
        <v>116</v>
      </c>
      <c r="R36" s="3">
        <v>0.12361111111111112</v>
      </c>
      <c r="S36" t="s">
        <v>118</v>
      </c>
      <c r="T36">
        <v>10523</v>
      </c>
      <c r="U36" t="s">
        <v>119</v>
      </c>
    </row>
    <row r="37" spans="1:21" hidden="1" x14ac:dyDescent="0.25">
      <c r="A37">
        <v>35</v>
      </c>
      <c r="B37">
        <v>35</v>
      </c>
      <c r="C37" t="s">
        <v>213</v>
      </c>
      <c r="D37" t="s">
        <v>112</v>
      </c>
      <c r="E37" t="s">
        <v>63</v>
      </c>
      <c r="F37" t="s">
        <v>130</v>
      </c>
      <c r="G37" t="s">
        <v>67</v>
      </c>
      <c r="H37" t="s">
        <v>121</v>
      </c>
      <c r="I37">
        <v>7</v>
      </c>
      <c r="J37">
        <v>6</v>
      </c>
      <c r="L37" s="4" t="s">
        <v>214</v>
      </c>
      <c r="M37">
        <v>4</v>
      </c>
      <c r="N37">
        <v>6</v>
      </c>
      <c r="O37" t="s">
        <v>160</v>
      </c>
      <c r="P37" t="s">
        <v>127</v>
      </c>
      <c r="Q37" t="s">
        <v>132</v>
      </c>
      <c r="R37" s="3">
        <v>0.11041666666666666</v>
      </c>
      <c r="S37" t="s">
        <v>133</v>
      </c>
      <c r="T37">
        <v>16143</v>
      </c>
      <c r="U37" t="s">
        <v>125</v>
      </c>
    </row>
    <row r="38" spans="1:21" hidden="1" x14ac:dyDescent="0.25">
      <c r="A38">
        <v>36</v>
      </c>
      <c r="B38">
        <v>36</v>
      </c>
      <c r="C38" t="s">
        <v>215</v>
      </c>
      <c r="D38" t="s">
        <v>112</v>
      </c>
      <c r="E38" t="s">
        <v>63</v>
      </c>
      <c r="F38" t="s">
        <v>130</v>
      </c>
      <c r="G38" t="s">
        <v>67</v>
      </c>
      <c r="H38" t="s">
        <v>121</v>
      </c>
      <c r="I38">
        <v>7</v>
      </c>
      <c r="J38">
        <v>3</v>
      </c>
      <c r="K38">
        <v>11</v>
      </c>
      <c r="L38" s="4" t="s">
        <v>216</v>
      </c>
      <c r="M38">
        <v>4</v>
      </c>
      <c r="N38">
        <v>6</v>
      </c>
      <c r="O38" t="s">
        <v>132</v>
      </c>
      <c r="P38" t="s">
        <v>217</v>
      </c>
      <c r="R38" s="3">
        <v>0.14722222222222223</v>
      </c>
      <c r="S38" t="s">
        <v>133</v>
      </c>
      <c r="T38">
        <v>16692</v>
      </c>
      <c r="U38" t="s">
        <v>144</v>
      </c>
    </row>
    <row r="39" spans="1:21" hidden="1" x14ac:dyDescent="0.25">
      <c r="A39">
        <v>37</v>
      </c>
      <c r="B39">
        <v>37</v>
      </c>
      <c r="C39" t="s">
        <v>218</v>
      </c>
      <c r="D39" t="s">
        <v>112</v>
      </c>
      <c r="E39" t="s">
        <v>63</v>
      </c>
      <c r="F39" t="s">
        <v>130</v>
      </c>
      <c r="G39" t="s">
        <v>67</v>
      </c>
      <c r="H39" t="s">
        <v>113</v>
      </c>
      <c r="I39">
        <v>5</v>
      </c>
      <c r="J39">
        <v>6</v>
      </c>
      <c r="K39">
        <v>10</v>
      </c>
      <c r="L39" s="4" t="s">
        <v>219</v>
      </c>
      <c r="M39">
        <v>4</v>
      </c>
      <c r="N39">
        <v>6.5</v>
      </c>
      <c r="O39" t="s">
        <v>117</v>
      </c>
      <c r="P39" t="s">
        <v>220</v>
      </c>
      <c r="R39" s="3">
        <v>0.1277777777777778</v>
      </c>
      <c r="S39" t="s">
        <v>133</v>
      </c>
      <c r="T39">
        <v>19758</v>
      </c>
      <c r="U39" t="s">
        <v>119</v>
      </c>
    </row>
    <row r="40" spans="1:21" x14ac:dyDescent="0.25">
      <c r="A40">
        <v>38</v>
      </c>
      <c r="B40">
        <v>38</v>
      </c>
      <c r="C40" t="s">
        <v>221</v>
      </c>
      <c r="D40" t="s">
        <v>112</v>
      </c>
      <c r="E40" t="s">
        <v>63</v>
      </c>
      <c r="G40" t="s">
        <v>76</v>
      </c>
      <c r="H40" t="s">
        <v>113</v>
      </c>
      <c r="I40">
        <v>5</v>
      </c>
      <c r="J40">
        <v>6</v>
      </c>
      <c r="K40">
        <v>11</v>
      </c>
      <c r="L40" s="4" t="s">
        <v>222</v>
      </c>
      <c r="M40">
        <v>4</v>
      </c>
      <c r="N40">
        <v>7.5</v>
      </c>
      <c r="O40" t="s">
        <v>131</v>
      </c>
      <c r="P40" t="s">
        <v>223</v>
      </c>
      <c r="Q40" t="s">
        <v>138</v>
      </c>
      <c r="R40" s="3">
        <v>0.15486111111111112</v>
      </c>
      <c r="S40" t="s">
        <v>133</v>
      </c>
      <c r="T40">
        <v>19503</v>
      </c>
      <c r="U40" t="s">
        <v>134</v>
      </c>
    </row>
    <row r="41" spans="1:21" x14ac:dyDescent="0.25">
      <c r="A41">
        <v>39</v>
      </c>
      <c r="B41">
        <v>39</v>
      </c>
      <c r="C41" t="s">
        <v>224</v>
      </c>
      <c r="D41" t="s">
        <v>112</v>
      </c>
      <c r="E41" t="s">
        <v>63</v>
      </c>
      <c r="G41" t="s">
        <v>76</v>
      </c>
      <c r="H41" t="s">
        <v>113</v>
      </c>
      <c r="I41">
        <v>0</v>
      </c>
      <c r="J41">
        <v>1</v>
      </c>
      <c r="L41" s="4" t="s">
        <v>225</v>
      </c>
      <c r="M41">
        <v>4</v>
      </c>
      <c r="N41">
        <v>7.5</v>
      </c>
      <c r="O41" t="s">
        <v>212</v>
      </c>
      <c r="P41" t="s">
        <v>116</v>
      </c>
      <c r="Q41" t="s">
        <v>138</v>
      </c>
      <c r="R41" s="3">
        <v>0.1076388888888889</v>
      </c>
      <c r="S41" t="s">
        <v>118</v>
      </c>
      <c r="T41">
        <v>22497</v>
      </c>
      <c r="U41" t="s">
        <v>139</v>
      </c>
    </row>
    <row r="42" spans="1:21" x14ac:dyDescent="0.25">
      <c r="A42">
        <v>40</v>
      </c>
      <c r="B42">
        <v>40</v>
      </c>
      <c r="C42" t="s">
        <v>226</v>
      </c>
      <c r="D42" t="s">
        <v>112</v>
      </c>
      <c r="E42" t="s">
        <v>63</v>
      </c>
      <c r="G42" t="s">
        <v>76</v>
      </c>
      <c r="H42" t="s">
        <v>121</v>
      </c>
      <c r="I42">
        <v>8</v>
      </c>
      <c r="J42">
        <v>4</v>
      </c>
      <c r="L42" s="4" t="s">
        <v>227</v>
      </c>
      <c r="M42">
        <v>4</v>
      </c>
      <c r="N42">
        <v>6.5</v>
      </c>
      <c r="O42" t="s">
        <v>160</v>
      </c>
      <c r="P42" t="s">
        <v>228</v>
      </c>
      <c r="R42" s="3">
        <v>0.13263888888888889</v>
      </c>
      <c r="S42" t="s">
        <v>118</v>
      </c>
      <c r="T42">
        <v>18356</v>
      </c>
      <c r="U42" t="s">
        <v>125</v>
      </c>
    </row>
    <row r="43" spans="1:21" x14ac:dyDescent="0.25">
      <c r="A43">
        <v>41</v>
      </c>
      <c r="B43">
        <v>41</v>
      </c>
      <c r="C43" t="s">
        <v>229</v>
      </c>
      <c r="D43" t="s">
        <v>112</v>
      </c>
      <c r="E43" t="s">
        <v>63</v>
      </c>
      <c r="G43" t="s">
        <v>87</v>
      </c>
      <c r="H43" t="s">
        <v>121</v>
      </c>
      <c r="I43">
        <v>4</v>
      </c>
      <c r="J43">
        <v>2</v>
      </c>
      <c r="L43" s="4" t="s">
        <v>230</v>
      </c>
      <c r="M43">
        <v>4</v>
      </c>
      <c r="N43">
        <v>5.5</v>
      </c>
      <c r="O43" t="s">
        <v>231</v>
      </c>
      <c r="P43" t="s">
        <v>178</v>
      </c>
      <c r="Q43" t="s">
        <v>132</v>
      </c>
      <c r="R43" s="3">
        <v>0.1125</v>
      </c>
      <c r="S43" t="s">
        <v>133</v>
      </c>
      <c r="T43">
        <v>21960</v>
      </c>
      <c r="U43" t="s">
        <v>144</v>
      </c>
    </row>
    <row r="44" spans="1:21" hidden="1" x14ac:dyDescent="0.25">
      <c r="A44">
        <v>42</v>
      </c>
      <c r="B44">
        <v>42</v>
      </c>
      <c r="C44" t="s">
        <v>232</v>
      </c>
      <c r="D44" t="s">
        <v>112</v>
      </c>
      <c r="E44" t="s">
        <v>63</v>
      </c>
      <c r="F44" t="s">
        <v>130</v>
      </c>
      <c r="G44" t="s">
        <v>83</v>
      </c>
      <c r="H44" t="s">
        <v>113</v>
      </c>
      <c r="I44">
        <v>0</v>
      </c>
      <c r="J44">
        <v>3</v>
      </c>
      <c r="L44" s="4" t="s">
        <v>233</v>
      </c>
      <c r="M44">
        <v>4</v>
      </c>
      <c r="N44">
        <v>6</v>
      </c>
      <c r="O44" t="s">
        <v>234</v>
      </c>
      <c r="P44" t="s">
        <v>147</v>
      </c>
      <c r="Q44" t="s">
        <v>148</v>
      </c>
      <c r="R44" s="3">
        <v>0.11875000000000001</v>
      </c>
      <c r="S44" t="s">
        <v>133</v>
      </c>
      <c r="T44">
        <v>24527</v>
      </c>
      <c r="U44" t="s">
        <v>119</v>
      </c>
    </row>
    <row r="45" spans="1:21" hidden="1" x14ac:dyDescent="0.25">
      <c r="A45">
        <v>43</v>
      </c>
      <c r="B45">
        <v>43</v>
      </c>
      <c r="C45" t="s">
        <v>235</v>
      </c>
      <c r="D45" t="s">
        <v>112</v>
      </c>
      <c r="E45" t="s">
        <v>63</v>
      </c>
      <c r="F45" t="s">
        <v>130</v>
      </c>
      <c r="G45" t="s">
        <v>83</v>
      </c>
      <c r="H45" t="s">
        <v>113</v>
      </c>
      <c r="I45">
        <v>0</v>
      </c>
      <c r="J45">
        <v>1</v>
      </c>
      <c r="L45" s="4" t="s">
        <v>236</v>
      </c>
      <c r="M45">
        <v>5</v>
      </c>
      <c r="N45">
        <v>6</v>
      </c>
      <c r="O45" t="s">
        <v>237</v>
      </c>
      <c r="P45" t="s">
        <v>116</v>
      </c>
      <c r="Q45" t="s">
        <v>148</v>
      </c>
      <c r="R45" s="3">
        <v>0.10486111111111111</v>
      </c>
      <c r="S45" t="s">
        <v>118</v>
      </c>
      <c r="T45">
        <v>26835</v>
      </c>
      <c r="U45" t="s">
        <v>134</v>
      </c>
    </row>
    <row r="46" spans="1:21" hidden="1" x14ac:dyDescent="0.25">
      <c r="A46">
        <v>44</v>
      </c>
      <c r="B46">
        <v>44</v>
      </c>
      <c r="C46" t="s">
        <v>238</v>
      </c>
      <c r="D46" t="s">
        <v>112</v>
      </c>
      <c r="E46" t="s">
        <v>63</v>
      </c>
      <c r="F46" t="s">
        <v>130</v>
      </c>
      <c r="G46" t="s">
        <v>68</v>
      </c>
      <c r="H46" t="s">
        <v>121</v>
      </c>
      <c r="I46">
        <v>17</v>
      </c>
      <c r="J46">
        <v>5</v>
      </c>
      <c r="L46" s="4" t="s">
        <v>239</v>
      </c>
      <c r="M46">
        <v>5</v>
      </c>
      <c r="N46">
        <v>6</v>
      </c>
      <c r="O46" t="s">
        <v>148</v>
      </c>
      <c r="P46" t="s">
        <v>240</v>
      </c>
      <c r="R46" s="3">
        <v>0.14652777777777778</v>
      </c>
      <c r="S46" t="s">
        <v>133</v>
      </c>
      <c r="T46">
        <v>24442</v>
      </c>
      <c r="U46" t="s">
        <v>125</v>
      </c>
    </row>
    <row r="47" spans="1:21" hidden="1" x14ac:dyDescent="0.25">
      <c r="A47">
        <v>45</v>
      </c>
      <c r="B47">
        <v>45</v>
      </c>
      <c r="C47" t="s">
        <v>241</v>
      </c>
      <c r="D47" t="s">
        <v>112</v>
      </c>
      <c r="E47" t="s">
        <v>63</v>
      </c>
      <c r="F47" t="s">
        <v>130</v>
      </c>
      <c r="G47" t="s">
        <v>68</v>
      </c>
      <c r="H47" t="s">
        <v>113</v>
      </c>
      <c r="I47">
        <v>3</v>
      </c>
      <c r="J47">
        <v>8</v>
      </c>
      <c r="L47" s="4" t="s">
        <v>242</v>
      </c>
      <c r="M47">
        <v>5</v>
      </c>
      <c r="N47">
        <v>7</v>
      </c>
      <c r="O47" t="s">
        <v>243</v>
      </c>
      <c r="P47" t="s">
        <v>122</v>
      </c>
      <c r="R47" s="3">
        <v>0.1076388888888889</v>
      </c>
      <c r="S47" t="s">
        <v>118</v>
      </c>
      <c r="T47">
        <v>33107</v>
      </c>
      <c r="U47" t="s">
        <v>119</v>
      </c>
    </row>
    <row r="48" spans="1:21" hidden="1" x14ac:dyDescent="0.25">
      <c r="A48">
        <v>46</v>
      </c>
      <c r="B48">
        <v>46</v>
      </c>
      <c r="C48" t="s">
        <v>244</v>
      </c>
      <c r="D48" t="s">
        <v>112</v>
      </c>
      <c r="E48" t="s">
        <v>63</v>
      </c>
      <c r="F48" t="s">
        <v>130</v>
      </c>
      <c r="G48" t="s">
        <v>68</v>
      </c>
      <c r="H48" t="s">
        <v>113</v>
      </c>
      <c r="I48">
        <v>1</v>
      </c>
      <c r="J48">
        <v>2</v>
      </c>
      <c r="L48" s="4" t="s">
        <v>245</v>
      </c>
      <c r="M48">
        <v>5</v>
      </c>
      <c r="N48">
        <v>7</v>
      </c>
      <c r="O48" t="s">
        <v>246</v>
      </c>
      <c r="P48" t="s">
        <v>128</v>
      </c>
      <c r="Q48" t="s">
        <v>247</v>
      </c>
      <c r="R48" s="3">
        <v>0.1173611111111111</v>
      </c>
      <c r="S48" t="s">
        <v>118</v>
      </c>
      <c r="T48">
        <v>33626</v>
      </c>
      <c r="U48" t="s">
        <v>134</v>
      </c>
    </row>
    <row r="49" spans="1:21" hidden="1" x14ac:dyDescent="0.25">
      <c r="A49">
        <v>47</v>
      </c>
      <c r="B49">
        <v>47</v>
      </c>
      <c r="C49" t="s">
        <v>248</v>
      </c>
      <c r="D49" t="s">
        <v>112</v>
      </c>
      <c r="E49" t="s">
        <v>63</v>
      </c>
      <c r="F49" t="s">
        <v>130</v>
      </c>
      <c r="G49" t="s">
        <v>81</v>
      </c>
      <c r="H49" t="s">
        <v>113</v>
      </c>
      <c r="I49">
        <v>3</v>
      </c>
      <c r="J49">
        <v>11</v>
      </c>
      <c r="L49" s="4" t="s">
        <v>249</v>
      </c>
      <c r="M49">
        <v>5</v>
      </c>
      <c r="N49">
        <v>8</v>
      </c>
      <c r="O49" t="s">
        <v>161</v>
      </c>
      <c r="P49" t="s">
        <v>147</v>
      </c>
      <c r="R49" s="3">
        <v>0.12222222222222223</v>
      </c>
      <c r="S49" t="s">
        <v>133</v>
      </c>
      <c r="T49">
        <v>22906</v>
      </c>
      <c r="U49" t="s">
        <v>139</v>
      </c>
    </row>
    <row r="50" spans="1:21" hidden="1" x14ac:dyDescent="0.25">
      <c r="A50">
        <v>48</v>
      </c>
      <c r="B50">
        <v>48</v>
      </c>
      <c r="C50" t="s">
        <v>250</v>
      </c>
      <c r="D50" t="s">
        <v>112</v>
      </c>
      <c r="E50" t="s">
        <v>63</v>
      </c>
      <c r="F50" t="s">
        <v>130</v>
      </c>
      <c r="G50" t="s">
        <v>81</v>
      </c>
      <c r="H50" t="s">
        <v>113</v>
      </c>
      <c r="I50">
        <v>6</v>
      </c>
      <c r="J50">
        <v>7</v>
      </c>
      <c r="L50" s="4" t="s">
        <v>251</v>
      </c>
      <c r="M50">
        <v>5</v>
      </c>
      <c r="N50">
        <v>8</v>
      </c>
      <c r="O50" t="s">
        <v>252</v>
      </c>
      <c r="P50" t="s">
        <v>148</v>
      </c>
      <c r="Q50" t="s">
        <v>253</v>
      </c>
      <c r="R50" s="3">
        <v>0.13472222222222222</v>
      </c>
      <c r="S50" t="s">
        <v>133</v>
      </c>
      <c r="T50">
        <v>24722</v>
      </c>
      <c r="U50" t="s">
        <v>254</v>
      </c>
    </row>
    <row r="51" spans="1:21" hidden="1" x14ac:dyDescent="0.25">
      <c r="A51">
        <v>49</v>
      </c>
      <c r="B51">
        <v>49</v>
      </c>
      <c r="C51" t="s">
        <v>255</v>
      </c>
      <c r="D51" t="s">
        <v>112</v>
      </c>
      <c r="E51" t="s">
        <v>63</v>
      </c>
      <c r="F51" t="s">
        <v>130</v>
      </c>
      <c r="G51" t="s">
        <v>81</v>
      </c>
      <c r="H51" t="s">
        <v>113</v>
      </c>
      <c r="I51">
        <v>4</v>
      </c>
      <c r="J51">
        <v>6</v>
      </c>
      <c r="L51" s="4" t="s">
        <v>256</v>
      </c>
      <c r="M51">
        <v>5</v>
      </c>
      <c r="N51">
        <v>9</v>
      </c>
      <c r="O51" t="s">
        <v>257</v>
      </c>
      <c r="P51" t="s">
        <v>160</v>
      </c>
      <c r="Q51" t="s">
        <v>163</v>
      </c>
      <c r="R51" s="3">
        <v>0.11875000000000001</v>
      </c>
      <c r="S51" t="s">
        <v>118</v>
      </c>
      <c r="T51">
        <v>34419</v>
      </c>
      <c r="U51" t="s">
        <v>258</v>
      </c>
    </row>
    <row r="52" spans="1:21" x14ac:dyDescent="0.25">
      <c r="A52">
        <v>50</v>
      </c>
      <c r="B52">
        <v>50</v>
      </c>
      <c r="C52" t="s">
        <v>259</v>
      </c>
      <c r="D52" t="s">
        <v>112</v>
      </c>
      <c r="E52" t="s">
        <v>63</v>
      </c>
      <c r="G52" t="s">
        <v>88</v>
      </c>
      <c r="H52" t="s">
        <v>121</v>
      </c>
      <c r="I52">
        <v>2</v>
      </c>
      <c r="J52">
        <v>1</v>
      </c>
      <c r="L52" s="4" t="s">
        <v>260</v>
      </c>
      <c r="M52">
        <v>5</v>
      </c>
      <c r="N52">
        <v>9.5</v>
      </c>
      <c r="O52" t="s">
        <v>132</v>
      </c>
      <c r="P52" t="s">
        <v>261</v>
      </c>
      <c r="R52" s="3">
        <v>9.0972222222222218E-2</v>
      </c>
      <c r="S52" t="s">
        <v>133</v>
      </c>
      <c r="T52">
        <v>21024</v>
      </c>
      <c r="U52" t="s">
        <v>125</v>
      </c>
    </row>
    <row r="53" spans="1:21" x14ac:dyDescent="0.25">
      <c r="A53">
        <v>51</v>
      </c>
      <c r="B53">
        <v>51</v>
      </c>
      <c r="C53" t="s">
        <v>262</v>
      </c>
      <c r="D53" t="s">
        <v>112</v>
      </c>
      <c r="E53" t="s">
        <v>63</v>
      </c>
      <c r="G53" t="s">
        <v>88</v>
      </c>
      <c r="H53" t="s">
        <v>113</v>
      </c>
      <c r="I53">
        <v>1</v>
      </c>
      <c r="J53">
        <v>2</v>
      </c>
      <c r="L53" s="4" t="s">
        <v>263</v>
      </c>
      <c r="M53">
        <v>5</v>
      </c>
      <c r="N53">
        <v>10.5</v>
      </c>
      <c r="O53" t="s">
        <v>264</v>
      </c>
      <c r="P53" t="s">
        <v>128</v>
      </c>
      <c r="Q53" t="s">
        <v>265</v>
      </c>
      <c r="R53" s="3">
        <v>0.10555555555555556</v>
      </c>
      <c r="S53" t="s">
        <v>118</v>
      </c>
      <c r="T53">
        <v>19159</v>
      </c>
      <c r="U53" t="s">
        <v>119</v>
      </c>
    </row>
    <row r="54" spans="1:21" x14ac:dyDescent="0.25">
      <c r="A54">
        <v>52</v>
      </c>
      <c r="B54">
        <v>52</v>
      </c>
      <c r="C54" t="s">
        <v>266</v>
      </c>
      <c r="D54" t="s">
        <v>112</v>
      </c>
      <c r="E54" t="s">
        <v>63</v>
      </c>
      <c r="G54" t="s">
        <v>88</v>
      </c>
      <c r="H54" t="s">
        <v>113</v>
      </c>
      <c r="I54">
        <v>4</v>
      </c>
      <c r="J54">
        <v>5</v>
      </c>
      <c r="L54" s="4" t="s">
        <v>267</v>
      </c>
      <c r="M54">
        <v>5</v>
      </c>
      <c r="N54">
        <v>10.5</v>
      </c>
      <c r="O54" t="s">
        <v>268</v>
      </c>
      <c r="P54" t="s">
        <v>132</v>
      </c>
      <c r="Q54" t="s">
        <v>265</v>
      </c>
      <c r="R54" s="3">
        <v>0.13819444444444443</v>
      </c>
      <c r="S54" t="s">
        <v>118</v>
      </c>
      <c r="T54">
        <v>23169</v>
      </c>
      <c r="U54" t="s">
        <v>134</v>
      </c>
    </row>
    <row r="55" spans="1:21" x14ac:dyDescent="0.25">
      <c r="A55">
        <v>53</v>
      </c>
      <c r="B55">
        <v>53</v>
      </c>
      <c r="C55" t="s">
        <v>269</v>
      </c>
      <c r="D55" t="s">
        <v>112</v>
      </c>
      <c r="E55" t="s">
        <v>63</v>
      </c>
      <c r="G55" t="s">
        <v>86</v>
      </c>
      <c r="H55" t="s">
        <v>113</v>
      </c>
      <c r="I55">
        <v>4</v>
      </c>
      <c r="J55">
        <v>5</v>
      </c>
      <c r="L55" s="4" t="s">
        <v>270</v>
      </c>
      <c r="M55">
        <v>5</v>
      </c>
      <c r="N55">
        <v>11.5</v>
      </c>
      <c r="O55" t="s">
        <v>154</v>
      </c>
      <c r="P55" t="s">
        <v>124</v>
      </c>
      <c r="Q55" t="s">
        <v>271</v>
      </c>
      <c r="R55" s="3">
        <v>0.13472222222222222</v>
      </c>
      <c r="S55" t="s">
        <v>118</v>
      </c>
      <c r="T55">
        <v>34789</v>
      </c>
      <c r="U55" t="s">
        <v>139</v>
      </c>
    </row>
    <row r="56" spans="1:21" x14ac:dyDescent="0.25">
      <c r="A56">
        <v>54</v>
      </c>
      <c r="B56">
        <v>54</v>
      </c>
      <c r="C56" t="s">
        <v>272</v>
      </c>
      <c r="D56" t="s">
        <v>112</v>
      </c>
      <c r="E56" t="s">
        <v>63</v>
      </c>
      <c r="G56" t="s">
        <v>86</v>
      </c>
      <c r="H56" t="s">
        <v>121</v>
      </c>
      <c r="I56">
        <v>10</v>
      </c>
      <c r="J56">
        <v>2</v>
      </c>
      <c r="L56" s="4" t="s">
        <v>273</v>
      </c>
      <c r="M56">
        <v>5</v>
      </c>
      <c r="N56">
        <v>10.5</v>
      </c>
      <c r="O56" t="s">
        <v>160</v>
      </c>
      <c r="P56" t="s">
        <v>156</v>
      </c>
      <c r="R56" s="3">
        <v>0.1173611111111111</v>
      </c>
      <c r="S56" t="s">
        <v>133</v>
      </c>
      <c r="T56">
        <v>21017</v>
      </c>
      <c r="U56" t="s">
        <v>125</v>
      </c>
    </row>
    <row r="57" spans="1:21" x14ac:dyDescent="0.25">
      <c r="A57">
        <v>55</v>
      </c>
      <c r="B57">
        <v>55</v>
      </c>
      <c r="C57" t="s">
        <v>274</v>
      </c>
      <c r="D57" t="s">
        <v>112</v>
      </c>
      <c r="E57" t="s">
        <v>63</v>
      </c>
      <c r="G57" t="s">
        <v>86</v>
      </c>
      <c r="H57" t="s">
        <v>121</v>
      </c>
      <c r="I57">
        <v>2</v>
      </c>
      <c r="J57">
        <v>1</v>
      </c>
      <c r="L57" s="4" t="s">
        <v>275</v>
      </c>
      <c r="M57">
        <v>5</v>
      </c>
      <c r="N57">
        <v>9.5</v>
      </c>
      <c r="O57" t="s">
        <v>122</v>
      </c>
      <c r="P57" t="s">
        <v>276</v>
      </c>
      <c r="Q57" t="s">
        <v>132</v>
      </c>
      <c r="R57" s="3">
        <v>0.11805555555555557</v>
      </c>
      <c r="S57" t="s">
        <v>118</v>
      </c>
      <c r="T57">
        <v>24495</v>
      </c>
      <c r="U57" t="s">
        <v>144</v>
      </c>
    </row>
    <row r="58" spans="1:21" hidden="1" x14ac:dyDescent="0.25">
      <c r="A58">
        <v>56</v>
      </c>
      <c r="B58">
        <v>56</v>
      </c>
      <c r="C58" t="s">
        <v>277</v>
      </c>
      <c r="D58" t="s">
        <v>112</v>
      </c>
      <c r="E58" t="s">
        <v>63</v>
      </c>
      <c r="F58" t="s">
        <v>130</v>
      </c>
      <c r="G58" t="s">
        <v>66</v>
      </c>
      <c r="H58" t="s">
        <v>121</v>
      </c>
      <c r="I58">
        <v>6</v>
      </c>
      <c r="J58">
        <v>1</v>
      </c>
      <c r="L58" s="4" t="s">
        <v>278</v>
      </c>
      <c r="M58">
        <v>5</v>
      </c>
      <c r="N58">
        <v>9</v>
      </c>
      <c r="O58" t="s">
        <v>128</v>
      </c>
      <c r="P58" t="s">
        <v>279</v>
      </c>
      <c r="Q58" t="s">
        <v>132</v>
      </c>
      <c r="R58" s="3">
        <v>0.12430555555555556</v>
      </c>
      <c r="S58" t="s">
        <v>133</v>
      </c>
      <c r="T58">
        <v>17810</v>
      </c>
      <c r="U58" t="s">
        <v>164</v>
      </c>
    </row>
    <row r="59" spans="1:21" hidden="1" x14ac:dyDescent="0.25">
      <c r="A59">
        <v>57</v>
      </c>
      <c r="B59">
        <v>57</v>
      </c>
      <c r="C59" t="s">
        <v>280</v>
      </c>
      <c r="D59" t="s">
        <v>112</v>
      </c>
      <c r="E59" t="s">
        <v>63</v>
      </c>
      <c r="F59" t="s">
        <v>130</v>
      </c>
      <c r="G59" t="s">
        <v>66</v>
      </c>
      <c r="H59" t="s">
        <v>113</v>
      </c>
      <c r="I59">
        <v>0</v>
      </c>
      <c r="J59">
        <v>4</v>
      </c>
      <c r="L59" s="4" t="s">
        <v>281</v>
      </c>
      <c r="M59">
        <v>5</v>
      </c>
      <c r="N59">
        <v>9</v>
      </c>
      <c r="O59" t="s">
        <v>282</v>
      </c>
      <c r="P59" t="s">
        <v>283</v>
      </c>
      <c r="R59" s="3">
        <v>0.11458333333333333</v>
      </c>
      <c r="S59" t="s">
        <v>133</v>
      </c>
      <c r="T59">
        <v>20332</v>
      </c>
      <c r="U59" t="s">
        <v>119</v>
      </c>
    </row>
    <row r="60" spans="1:21" hidden="1" x14ac:dyDescent="0.25">
      <c r="A60">
        <v>58</v>
      </c>
      <c r="B60">
        <v>58</v>
      </c>
      <c r="C60" t="s">
        <v>284</v>
      </c>
      <c r="D60" t="s">
        <v>112</v>
      </c>
      <c r="E60" t="s">
        <v>63</v>
      </c>
      <c r="F60" t="s">
        <v>130</v>
      </c>
      <c r="G60" t="s">
        <v>66</v>
      </c>
      <c r="H60" t="s">
        <v>113</v>
      </c>
      <c r="I60">
        <v>0</v>
      </c>
      <c r="J60">
        <v>2</v>
      </c>
      <c r="L60" s="4" t="s">
        <v>285</v>
      </c>
      <c r="M60">
        <v>5</v>
      </c>
      <c r="N60">
        <v>9</v>
      </c>
      <c r="O60" t="s">
        <v>286</v>
      </c>
      <c r="P60" t="s">
        <v>116</v>
      </c>
      <c r="Q60" t="s">
        <v>287</v>
      </c>
      <c r="R60" s="3">
        <v>0.10486111111111111</v>
      </c>
      <c r="S60" t="s">
        <v>133</v>
      </c>
      <c r="T60">
        <v>26199</v>
      </c>
      <c r="U60" t="s">
        <v>134</v>
      </c>
    </row>
    <row r="61" spans="1:21" hidden="1" x14ac:dyDescent="0.25">
      <c r="A61">
        <v>59</v>
      </c>
      <c r="B61">
        <v>59</v>
      </c>
      <c r="C61" t="s">
        <v>288</v>
      </c>
      <c r="D61" t="s">
        <v>112</v>
      </c>
      <c r="E61" t="s">
        <v>63</v>
      </c>
      <c r="F61" t="s">
        <v>130</v>
      </c>
      <c r="G61" t="s">
        <v>66</v>
      </c>
      <c r="H61" t="s">
        <v>121</v>
      </c>
      <c r="I61">
        <v>9</v>
      </c>
      <c r="J61">
        <v>4</v>
      </c>
      <c r="K61">
        <v>11</v>
      </c>
      <c r="L61" s="4" t="s">
        <v>289</v>
      </c>
      <c r="M61">
        <v>5</v>
      </c>
      <c r="N61">
        <v>9</v>
      </c>
      <c r="O61" t="s">
        <v>124</v>
      </c>
      <c r="P61" t="s">
        <v>290</v>
      </c>
      <c r="R61" s="3">
        <v>0.16527777777777777</v>
      </c>
      <c r="S61" t="s">
        <v>118</v>
      </c>
      <c r="T61">
        <v>23129</v>
      </c>
      <c r="U61" t="s">
        <v>125</v>
      </c>
    </row>
    <row r="62" spans="1:21" hidden="1" x14ac:dyDescent="0.25">
      <c r="A62">
        <v>60</v>
      </c>
      <c r="B62">
        <v>60</v>
      </c>
      <c r="C62" t="s">
        <v>291</v>
      </c>
      <c r="D62" t="s">
        <v>112</v>
      </c>
      <c r="E62" t="s">
        <v>63</v>
      </c>
      <c r="F62" t="s">
        <v>130</v>
      </c>
      <c r="G62" t="s">
        <v>90</v>
      </c>
      <c r="H62" t="s">
        <v>113</v>
      </c>
      <c r="I62">
        <v>4</v>
      </c>
      <c r="J62">
        <v>5</v>
      </c>
      <c r="K62">
        <v>13</v>
      </c>
      <c r="L62" s="4" t="s">
        <v>292</v>
      </c>
      <c r="M62">
        <v>5</v>
      </c>
      <c r="N62">
        <v>10</v>
      </c>
      <c r="O62" t="s">
        <v>293</v>
      </c>
      <c r="P62" t="s">
        <v>294</v>
      </c>
      <c r="R62" s="3">
        <v>0.18680555555555556</v>
      </c>
      <c r="S62" t="s">
        <v>133</v>
      </c>
      <c r="T62">
        <v>41180</v>
      </c>
      <c r="U62" t="s">
        <v>119</v>
      </c>
    </row>
    <row r="63" spans="1:21" hidden="1" x14ac:dyDescent="0.25">
      <c r="A63">
        <v>61</v>
      </c>
      <c r="B63">
        <v>61</v>
      </c>
      <c r="C63" t="s">
        <v>295</v>
      </c>
      <c r="D63" t="s">
        <v>112</v>
      </c>
      <c r="E63" t="s">
        <v>63</v>
      </c>
      <c r="F63" t="s">
        <v>130</v>
      </c>
      <c r="G63" t="s">
        <v>90</v>
      </c>
      <c r="H63" t="s">
        <v>121</v>
      </c>
      <c r="I63">
        <v>2</v>
      </c>
      <c r="J63">
        <v>1</v>
      </c>
      <c r="L63" s="4" t="s">
        <v>296</v>
      </c>
      <c r="M63">
        <v>5</v>
      </c>
      <c r="N63">
        <v>9</v>
      </c>
      <c r="O63" t="s">
        <v>128</v>
      </c>
      <c r="P63" t="s">
        <v>212</v>
      </c>
      <c r="Q63" t="s">
        <v>132</v>
      </c>
      <c r="R63" s="3">
        <v>0.10902777777777778</v>
      </c>
      <c r="S63" t="s">
        <v>133</v>
      </c>
      <c r="T63">
        <v>41786</v>
      </c>
      <c r="U63" t="s">
        <v>125</v>
      </c>
    </row>
    <row r="64" spans="1:21" hidden="1" x14ac:dyDescent="0.25">
      <c r="A64">
        <v>62</v>
      </c>
      <c r="B64">
        <v>62</v>
      </c>
      <c r="C64" t="s">
        <v>297</v>
      </c>
      <c r="D64" t="s">
        <v>112</v>
      </c>
      <c r="E64" t="s">
        <v>63</v>
      </c>
      <c r="F64" t="s">
        <v>130</v>
      </c>
      <c r="G64" t="s">
        <v>90</v>
      </c>
      <c r="H64" t="s">
        <v>113</v>
      </c>
      <c r="I64">
        <v>1</v>
      </c>
      <c r="J64">
        <v>3</v>
      </c>
      <c r="L64" s="4" t="s">
        <v>298</v>
      </c>
      <c r="M64">
        <v>5</v>
      </c>
      <c r="N64">
        <v>10</v>
      </c>
      <c r="O64" t="s">
        <v>192</v>
      </c>
      <c r="P64" t="s">
        <v>124</v>
      </c>
      <c r="R64" s="3">
        <v>9.4444444444444442E-2</v>
      </c>
      <c r="S64" t="s">
        <v>118</v>
      </c>
      <c r="T64">
        <v>41738</v>
      </c>
      <c r="U64" t="s">
        <v>119</v>
      </c>
    </row>
    <row r="65" spans="1:21" hidden="1" x14ac:dyDescent="0.25">
      <c r="A65">
        <v>63</v>
      </c>
      <c r="B65">
        <v>63</v>
      </c>
      <c r="C65" t="s">
        <v>299</v>
      </c>
      <c r="D65" t="s">
        <v>112</v>
      </c>
      <c r="E65" t="s">
        <v>63</v>
      </c>
      <c r="F65" t="s">
        <v>130</v>
      </c>
      <c r="G65" t="s">
        <v>88</v>
      </c>
      <c r="H65" t="s">
        <v>113</v>
      </c>
      <c r="I65">
        <v>3</v>
      </c>
      <c r="J65">
        <v>7</v>
      </c>
      <c r="L65" s="4" t="s">
        <v>300</v>
      </c>
      <c r="M65">
        <v>5</v>
      </c>
      <c r="N65">
        <v>10</v>
      </c>
      <c r="O65" t="s">
        <v>301</v>
      </c>
      <c r="P65" t="s">
        <v>116</v>
      </c>
      <c r="R65" s="3">
        <v>0.12083333333333333</v>
      </c>
      <c r="S65" t="s">
        <v>133</v>
      </c>
      <c r="T65">
        <v>16464</v>
      </c>
      <c r="U65" t="s">
        <v>134</v>
      </c>
    </row>
    <row r="66" spans="1:21" hidden="1" x14ac:dyDescent="0.25">
      <c r="A66">
        <v>64</v>
      </c>
      <c r="B66">
        <v>64</v>
      </c>
      <c r="C66" t="s">
        <v>302</v>
      </c>
      <c r="D66" t="s">
        <v>112</v>
      </c>
      <c r="E66" t="s">
        <v>63</v>
      </c>
      <c r="F66" t="s">
        <v>130</v>
      </c>
      <c r="G66" t="s">
        <v>88</v>
      </c>
      <c r="H66" t="s">
        <v>121</v>
      </c>
      <c r="I66">
        <v>2</v>
      </c>
      <c r="J66">
        <v>1</v>
      </c>
      <c r="L66" s="4" t="s">
        <v>303</v>
      </c>
      <c r="M66">
        <v>5</v>
      </c>
      <c r="N66">
        <v>10</v>
      </c>
      <c r="O66" t="s">
        <v>160</v>
      </c>
      <c r="P66" t="s">
        <v>304</v>
      </c>
      <c r="Q66" t="s">
        <v>132</v>
      </c>
      <c r="R66" s="3">
        <v>0.11388888888888889</v>
      </c>
      <c r="S66" t="s">
        <v>133</v>
      </c>
      <c r="T66">
        <v>23211</v>
      </c>
      <c r="U66" t="s">
        <v>125</v>
      </c>
    </row>
    <row r="67" spans="1:21" hidden="1" x14ac:dyDescent="0.25">
      <c r="A67">
        <v>65</v>
      </c>
      <c r="B67">
        <v>65</v>
      </c>
      <c r="C67" t="s">
        <v>305</v>
      </c>
      <c r="D67" t="s">
        <v>112</v>
      </c>
      <c r="E67" t="s">
        <v>63</v>
      </c>
      <c r="F67" t="s">
        <v>130</v>
      </c>
      <c r="G67" t="s">
        <v>88</v>
      </c>
      <c r="H67" t="s">
        <v>121</v>
      </c>
      <c r="I67">
        <v>2</v>
      </c>
      <c r="J67">
        <v>1</v>
      </c>
      <c r="L67" s="4" t="s">
        <v>306</v>
      </c>
      <c r="M67">
        <v>5</v>
      </c>
      <c r="N67">
        <v>10</v>
      </c>
      <c r="O67" t="s">
        <v>122</v>
      </c>
      <c r="P67" t="s">
        <v>307</v>
      </c>
      <c r="Q67" t="s">
        <v>132</v>
      </c>
      <c r="R67" s="3">
        <v>0.10625</v>
      </c>
      <c r="S67" t="s">
        <v>133</v>
      </c>
      <c r="T67">
        <v>25027</v>
      </c>
      <c r="U67" t="s">
        <v>144</v>
      </c>
    </row>
    <row r="68" spans="1:21" hidden="1" x14ac:dyDescent="0.25">
      <c r="A68">
        <v>66</v>
      </c>
      <c r="B68">
        <v>66</v>
      </c>
      <c r="C68" t="s">
        <v>308</v>
      </c>
      <c r="D68" t="s">
        <v>112</v>
      </c>
      <c r="E68" t="s">
        <v>63</v>
      </c>
      <c r="F68" t="s">
        <v>130</v>
      </c>
      <c r="G68" t="s">
        <v>88</v>
      </c>
      <c r="H68" t="s">
        <v>121</v>
      </c>
      <c r="I68">
        <v>2</v>
      </c>
      <c r="J68">
        <v>0</v>
      </c>
      <c r="L68" s="4" t="s">
        <v>309</v>
      </c>
      <c r="M68">
        <v>5</v>
      </c>
      <c r="N68">
        <v>10</v>
      </c>
      <c r="O68" t="s">
        <v>141</v>
      </c>
      <c r="P68" t="s">
        <v>265</v>
      </c>
      <c r="Q68" t="s">
        <v>132</v>
      </c>
      <c r="R68" s="3">
        <v>0.11458333333333333</v>
      </c>
      <c r="S68" t="s">
        <v>118</v>
      </c>
      <c r="T68">
        <v>20185</v>
      </c>
      <c r="U68" t="s">
        <v>164</v>
      </c>
    </row>
    <row r="69" spans="1:21" x14ac:dyDescent="0.25">
      <c r="A69">
        <v>67</v>
      </c>
      <c r="B69">
        <v>67</v>
      </c>
      <c r="C69" t="s">
        <v>310</v>
      </c>
      <c r="D69" t="s">
        <v>112</v>
      </c>
      <c r="E69" t="s">
        <v>63</v>
      </c>
      <c r="G69" t="s">
        <v>91</v>
      </c>
      <c r="H69" t="s">
        <v>121</v>
      </c>
      <c r="I69">
        <v>8</v>
      </c>
      <c r="J69">
        <v>6</v>
      </c>
      <c r="L69" s="4" t="s">
        <v>311</v>
      </c>
      <c r="M69">
        <v>5</v>
      </c>
      <c r="N69">
        <v>10</v>
      </c>
      <c r="O69" t="s">
        <v>148</v>
      </c>
      <c r="P69" t="s">
        <v>312</v>
      </c>
      <c r="Q69" t="s">
        <v>132</v>
      </c>
      <c r="R69" s="3">
        <v>0.14375000000000002</v>
      </c>
      <c r="S69" t="s">
        <v>133</v>
      </c>
      <c r="T69">
        <v>26739</v>
      </c>
      <c r="U69" t="s">
        <v>167</v>
      </c>
    </row>
    <row r="70" spans="1:21" x14ac:dyDescent="0.25">
      <c r="A70">
        <v>68</v>
      </c>
      <c r="B70">
        <v>68</v>
      </c>
      <c r="C70" t="s">
        <v>313</v>
      </c>
      <c r="D70" t="s">
        <v>112</v>
      </c>
      <c r="E70" t="s">
        <v>63</v>
      </c>
      <c r="G70" t="s">
        <v>91</v>
      </c>
      <c r="H70" t="s">
        <v>121</v>
      </c>
      <c r="I70">
        <v>10</v>
      </c>
      <c r="J70">
        <v>0</v>
      </c>
      <c r="L70" s="4" t="s">
        <v>314</v>
      </c>
      <c r="M70">
        <v>4</v>
      </c>
      <c r="N70">
        <v>10.5</v>
      </c>
      <c r="O70" t="s">
        <v>116</v>
      </c>
      <c r="P70" t="s">
        <v>315</v>
      </c>
      <c r="R70" s="3">
        <v>9.930555555555555E-2</v>
      </c>
      <c r="S70" t="s">
        <v>133</v>
      </c>
      <c r="T70">
        <v>27130</v>
      </c>
      <c r="U70" t="s">
        <v>316</v>
      </c>
    </row>
    <row r="71" spans="1:21" x14ac:dyDescent="0.25">
      <c r="A71">
        <v>69</v>
      </c>
      <c r="B71">
        <v>69</v>
      </c>
      <c r="C71" t="s">
        <v>317</v>
      </c>
      <c r="D71" t="s">
        <v>112</v>
      </c>
      <c r="E71" t="s">
        <v>63</v>
      </c>
      <c r="G71" t="s">
        <v>91</v>
      </c>
      <c r="H71" t="s">
        <v>121</v>
      </c>
      <c r="I71">
        <v>7</v>
      </c>
      <c r="J71">
        <v>4</v>
      </c>
      <c r="K71">
        <v>10</v>
      </c>
      <c r="L71" s="4" t="s">
        <v>318</v>
      </c>
      <c r="M71">
        <v>4</v>
      </c>
      <c r="N71">
        <v>10.5</v>
      </c>
      <c r="O71" t="s">
        <v>124</v>
      </c>
      <c r="P71" t="s">
        <v>319</v>
      </c>
      <c r="R71" s="3">
        <v>0.125</v>
      </c>
      <c r="S71" t="s">
        <v>133</v>
      </c>
      <c r="T71">
        <v>19662</v>
      </c>
      <c r="U71" t="s">
        <v>320</v>
      </c>
    </row>
    <row r="72" spans="1:21" x14ac:dyDescent="0.25">
      <c r="A72">
        <v>70</v>
      </c>
      <c r="B72">
        <v>70</v>
      </c>
      <c r="C72" t="s">
        <v>321</v>
      </c>
      <c r="D72" t="s">
        <v>112</v>
      </c>
      <c r="E72" t="s">
        <v>63</v>
      </c>
      <c r="G72" t="s">
        <v>68</v>
      </c>
      <c r="H72" t="s">
        <v>121</v>
      </c>
      <c r="I72">
        <v>8</v>
      </c>
      <c r="J72">
        <v>4</v>
      </c>
      <c r="L72" s="4" t="s">
        <v>322</v>
      </c>
      <c r="M72">
        <v>3</v>
      </c>
      <c r="N72">
        <v>9.5</v>
      </c>
      <c r="O72" t="s">
        <v>124</v>
      </c>
      <c r="P72" t="s">
        <v>323</v>
      </c>
      <c r="R72" s="3">
        <v>0.1388888888888889</v>
      </c>
      <c r="S72" t="s">
        <v>133</v>
      </c>
      <c r="T72">
        <v>35562</v>
      </c>
      <c r="U72" t="s">
        <v>324</v>
      </c>
    </row>
    <row r="73" spans="1:21" x14ac:dyDescent="0.25">
      <c r="A73">
        <v>71</v>
      </c>
      <c r="B73">
        <v>71</v>
      </c>
      <c r="C73" t="s">
        <v>325</v>
      </c>
      <c r="D73" t="s">
        <v>112</v>
      </c>
      <c r="E73" t="s">
        <v>63</v>
      </c>
      <c r="G73" t="s">
        <v>68</v>
      </c>
      <c r="H73" t="s">
        <v>121</v>
      </c>
      <c r="I73">
        <v>4</v>
      </c>
      <c r="J73">
        <v>2</v>
      </c>
      <c r="L73" s="4" t="s">
        <v>326</v>
      </c>
      <c r="M73">
        <v>3</v>
      </c>
      <c r="N73">
        <v>9.5</v>
      </c>
      <c r="O73" t="s">
        <v>128</v>
      </c>
      <c r="P73" t="s">
        <v>327</v>
      </c>
      <c r="Q73" t="s">
        <v>132</v>
      </c>
      <c r="R73" s="3">
        <v>0.11458333333333333</v>
      </c>
      <c r="S73" t="s">
        <v>118</v>
      </c>
      <c r="T73">
        <v>36614</v>
      </c>
      <c r="U73" t="s">
        <v>328</v>
      </c>
    </row>
    <row r="74" spans="1:21" x14ac:dyDescent="0.25">
      <c r="A74">
        <v>72</v>
      </c>
      <c r="B74">
        <v>72</v>
      </c>
      <c r="C74" t="s">
        <v>329</v>
      </c>
      <c r="D74" t="s">
        <v>112</v>
      </c>
      <c r="E74" t="s">
        <v>63</v>
      </c>
      <c r="G74" t="s">
        <v>68</v>
      </c>
      <c r="H74" t="s">
        <v>113</v>
      </c>
      <c r="I74">
        <v>4</v>
      </c>
      <c r="J74">
        <v>7</v>
      </c>
      <c r="L74" s="4" t="s">
        <v>330</v>
      </c>
      <c r="M74">
        <v>3</v>
      </c>
      <c r="N74">
        <v>9.5</v>
      </c>
      <c r="O74" t="s">
        <v>331</v>
      </c>
      <c r="P74" t="s">
        <v>147</v>
      </c>
      <c r="R74" s="3">
        <v>0.11597222222222221</v>
      </c>
      <c r="S74" t="s">
        <v>118</v>
      </c>
      <c r="T74">
        <v>35439</v>
      </c>
      <c r="U74" t="s">
        <v>119</v>
      </c>
    </row>
    <row r="75" spans="1:21" x14ac:dyDescent="0.25">
      <c r="A75">
        <v>73</v>
      </c>
      <c r="B75">
        <v>73</v>
      </c>
      <c r="C75" t="s">
        <v>332</v>
      </c>
      <c r="D75" t="s">
        <v>112</v>
      </c>
      <c r="E75" t="s">
        <v>63</v>
      </c>
      <c r="G75" t="s">
        <v>89</v>
      </c>
      <c r="H75" t="s">
        <v>121</v>
      </c>
      <c r="I75">
        <v>6</v>
      </c>
      <c r="J75">
        <v>5</v>
      </c>
      <c r="L75" s="4" t="s">
        <v>333</v>
      </c>
      <c r="M75">
        <v>3</v>
      </c>
      <c r="N75">
        <v>9.5</v>
      </c>
      <c r="O75" t="s">
        <v>141</v>
      </c>
      <c r="P75" t="s">
        <v>334</v>
      </c>
      <c r="R75" s="3">
        <v>0.12291666666666667</v>
      </c>
      <c r="S75" t="s">
        <v>133</v>
      </c>
      <c r="T75">
        <v>21502</v>
      </c>
      <c r="U75" t="s">
        <v>125</v>
      </c>
    </row>
    <row r="76" spans="1:21" x14ac:dyDescent="0.25">
      <c r="A76">
        <v>74</v>
      </c>
      <c r="B76">
        <v>74</v>
      </c>
      <c r="C76" t="s">
        <v>335</v>
      </c>
      <c r="D76" t="s">
        <v>112</v>
      </c>
      <c r="E76" t="s">
        <v>63</v>
      </c>
      <c r="G76" t="s">
        <v>89</v>
      </c>
      <c r="H76" t="s">
        <v>121</v>
      </c>
      <c r="I76">
        <v>2</v>
      </c>
      <c r="J76">
        <v>1</v>
      </c>
      <c r="L76" s="4" t="s">
        <v>336</v>
      </c>
      <c r="M76">
        <v>3</v>
      </c>
      <c r="N76">
        <v>9.5</v>
      </c>
      <c r="O76" t="s">
        <v>122</v>
      </c>
      <c r="P76" t="s">
        <v>337</v>
      </c>
      <c r="Q76" t="s">
        <v>132</v>
      </c>
      <c r="R76" s="3">
        <v>0.11180555555555556</v>
      </c>
      <c r="S76" t="s">
        <v>133</v>
      </c>
      <c r="T76">
        <v>21367</v>
      </c>
      <c r="U76" t="s">
        <v>144</v>
      </c>
    </row>
    <row r="77" spans="1:21" x14ac:dyDescent="0.25">
      <c r="A77">
        <v>75</v>
      </c>
      <c r="B77">
        <v>75</v>
      </c>
      <c r="C77" t="s">
        <v>338</v>
      </c>
      <c r="D77" t="s">
        <v>112</v>
      </c>
      <c r="E77" t="s">
        <v>63</v>
      </c>
      <c r="G77" t="s">
        <v>89</v>
      </c>
      <c r="H77" t="s">
        <v>121</v>
      </c>
      <c r="I77">
        <v>1</v>
      </c>
      <c r="J77">
        <v>0</v>
      </c>
      <c r="L77" s="4" t="s">
        <v>339</v>
      </c>
      <c r="M77">
        <v>3</v>
      </c>
      <c r="N77">
        <v>8.5</v>
      </c>
      <c r="O77" t="s">
        <v>340</v>
      </c>
      <c r="P77" t="s">
        <v>341</v>
      </c>
      <c r="R77" s="3">
        <v>0.1076388888888889</v>
      </c>
      <c r="S77" t="s">
        <v>118</v>
      </c>
      <c r="T77">
        <v>21161</v>
      </c>
      <c r="U77" t="s">
        <v>164</v>
      </c>
    </row>
    <row r="78" spans="1:21" hidden="1" x14ac:dyDescent="0.25">
      <c r="A78">
        <v>76</v>
      </c>
      <c r="B78">
        <v>76</v>
      </c>
      <c r="C78" t="s">
        <v>342</v>
      </c>
      <c r="D78" t="s">
        <v>112</v>
      </c>
      <c r="E78" t="s">
        <v>63</v>
      </c>
      <c r="F78" t="s">
        <v>130</v>
      </c>
      <c r="G78" t="s">
        <v>71</v>
      </c>
      <c r="H78" t="s">
        <v>121</v>
      </c>
      <c r="I78">
        <v>9</v>
      </c>
      <c r="J78">
        <v>5</v>
      </c>
      <c r="K78">
        <v>14</v>
      </c>
      <c r="L78" s="4" t="s">
        <v>343</v>
      </c>
      <c r="M78">
        <v>3</v>
      </c>
      <c r="N78">
        <v>8.5</v>
      </c>
      <c r="O78" t="s">
        <v>344</v>
      </c>
      <c r="P78" t="s">
        <v>345</v>
      </c>
      <c r="R78" s="3">
        <v>0.20694444444444446</v>
      </c>
      <c r="S78" t="s">
        <v>133</v>
      </c>
      <c r="T78">
        <v>23856</v>
      </c>
      <c r="U78" t="s">
        <v>167</v>
      </c>
    </row>
    <row r="79" spans="1:21" hidden="1" x14ac:dyDescent="0.25">
      <c r="A79">
        <v>77</v>
      </c>
      <c r="B79">
        <v>77</v>
      </c>
      <c r="C79" t="s">
        <v>346</v>
      </c>
      <c r="D79" t="s">
        <v>112</v>
      </c>
      <c r="E79" t="s">
        <v>63</v>
      </c>
      <c r="F79" t="s">
        <v>130</v>
      </c>
      <c r="G79" t="s">
        <v>71</v>
      </c>
      <c r="H79" t="s">
        <v>113</v>
      </c>
      <c r="I79">
        <v>0</v>
      </c>
      <c r="J79">
        <v>3</v>
      </c>
      <c r="L79" s="4" t="s">
        <v>347</v>
      </c>
      <c r="M79">
        <v>3</v>
      </c>
      <c r="N79">
        <v>8.5</v>
      </c>
      <c r="O79" t="s">
        <v>348</v>
      </c>
      <c r="P79" t="s">
        <v>147</v>
      </c>
      <c r="Q79" t="s">
        <v>349</v>
      </c>
      <c r="R79" s="3">
        <v>0.12083333333333333</v>
      </c>
      <c r="S79" t="s">
        <v>118</v>
      </c>
      <c r="T79">
        <v>23008</v>
      </c>
      <c r="U79" t="s">
        <v>119</v>
      </c>
    </row>
    <row r="80" spans="1:21" hidden="1" x14ac:dyDescent="0.25">
      <c r="A80">
        <v>78</v>
      </c>
      <c r="B80">
        <v>78</v>
      </c>
      <c r="C80" t="s">
        <v>350</v>
      </c>
      <c r="D80" t="s">
        <v>112</v>
      </c>
      <c r="E80" t="s">
        <v>63</v>
      </c>
      <c r="F80" t="s">
        <v>130</v>
      </c>
      <c r="G80" t="s">
        <v>71</v>
      </c>
      <c r="H80" t="s">
        <v>121</v>
      </c>
      <c r="I80">
        <v>2</v>
      </c>
      <c r="J80">
        <v>1</v>
      </c>
      <c r="L80" s="4" t="s">
        <v>351</v>
      </c>
      <c r="M80">
        <v>3</v>
      </c>
      <c r="N80">
        <v>8.5</v>
      </c>
      <c r="O80" t="s">
        <v>116</v>
      </c>
      <c r="P80" t="s">
        <v>352</v>
      </c>
      <c r="Q80" t="s">
        <v>132</v>
      </c>
      <c r="R80" s="3">
        <v>0.12222222222222223</v>
      </c>
      <c r="S80" t="s">
        <v>118</v>
      </c>
      <c r="T80">
        <v>24057</v>
      </c>
      <c r="U80" t="s">
        <v>125</v>
      </c>
    </row>
    <row r="81" spans="1:21" hidden="1" x14ac:dyDescent="0.25">
      <c r="A81">
        <v>79</v>
      </c>
      <c r="B81">
        <v>79</v>
      </c>
      <c r="C81" t="s">
        <v>353</v>
      </c>
      <c r="D81" t="s">
        <v>112</v>
      </c>
      <c r="E81" t="s">
        <v>63</v>
      </c>
      <c r="F81" t="s">
        <v>130</v>
      </c>
      <c r="G81" t="s">
        <v>79</v>
      </c>
      <c r="H81" t="s">
        <v>113</v>
      </c>
      <c r="I81">
        <v>3</v>
      </c>
      <c r="J81">
        <v>4</v>
      </c>
      <c r="K81">
        <v>10</v>
      </c>
      <c r="L81" s="4" t="s">
        <v>354</v>
      </c>
      <c r="M81">
        <v>3</v>
      </c>
      <c r="N81">
        <v>9</v>
      </c>
      <c r="O81" t="s">
        <v>355</v>
      </c>
      <c r="P81" t="s">
        <v>124</v>
      </c>
      <c r="R81" s="3">
        <v>0.12638888888888888</v>
      </c>
      <c r="S81" t="s">
        <v>133</v>
      </c>
      <c r="T81">
        <v>35032</v>
      </c>
      <c r="U81" t="s">
        <v>119</v>
      </c>
    </row>
    <row r="82" spans="1:21" hidden="1" x14ac:dyDescent="0.25">
      <c r="A82">
        <v>80</v>
      </c>
      <c r="B82">
        <v>80</v>
      </c>
      <c r="C82" t="s">
        <v>356</v>
      </c>
      <c r="D82" t="s">
        <v>112</v>
      </c>
      <c r="E82" t="s">
        <v>63</v>
      </c>
      <c r="F82" t="s">
        <v>130</v>
      </c>
      <c r="G82" t="s">
        <v>79</v>
      </c>
      <c r="H82" t="s">
        <v>113</v>
      </c>
      <c r="I82">
        <v>5</v>
      </c>
      <c r="J82">
        <v>11</v>
      </c>
      <c r="L82" s="4" t="s">
        <v>357</v>
      </c>
      <c r="M82">
        <v>4</v>
      </c>
      <c r="N82">
        <v>10</v>
      </c>
      <c r="O82" t="s">
        <v>358</v>
      </c>
      <c r="P82" t="s">
        <v>344</v>
      </c>
      <c r="R82" s="3">
        <v>0.14791666666666667</v>
      </c>
      <c r="S82" t="s">
        <v>133</v>
      </c>
      <c r="T82">
        <v>41029</v>
      </c>
      <c r="U82" t="s">
        <v>134</v>
      </c>
    </row>
    <row r="83" spans="1:21" hidden="1" x14ac:dyDescent="0.25">
      <c r="A83">
        <v>81</v>
      </c>
      <c r="B83">
        <v>81</v>
      </c>
      <c r="C83" t="s">
        <v>359</v>
      </c>
      <c r="D83" t="s">
        <v>112</v>
      </c>
      <c r="E83" t="s">
        <v>63</v>
      </c>
      <c r="F83" t="s">
        <v>130</v>
      </c>
      <c r="G83" t="s">
        <v>79</v>
      </c>
      <c r="H83" t="s">
        <v>113</v>
      </c>
      <c r="I83">
        <v>0</v>
      </c>
      <c r="J83">
        <v>1</v>
      </c>
      <c r="L83" s="4" t="s">
        <v>360</v>
      </c>
      <c r="M83">
        <v>4</v>
      </c>
      <c r="N83">
        <v>11</v>
      </c>
      <c r="O83" t="s">
        <v>361</v>
      </c>
      <c r="P83" t="s">
        <v>128</v>
      </c>
      <c r="Q83" t="s">
        <v>362</v>
      </c>
      <c r="R83" s="3">
        <v>9.6527777777777768E-2</v>
      </c>
      <c r="S83" t="s">
        <v>118</v>
      </c>
      <c r="T83">
        <v>35257</v>
      </c>
      <c r="U83" t="s">
        <v>139</v>
      </c>
    </row>
    <row r="84" spans="1:21" x14ac:dyDescent="0.25">
      <c r="A84">
        <v>82</v>
      </c>
      <c r="B84">
        <v>82</v>
      </c>
      <c r="C84" t="s">
        <v>363</v>
      </c>
      <c r="D84" t="s">
        <v>112</v>
      </c>
      <c r="E84" t="s">
        <v>63</v>
      </c>
      <c r="G84" t="s">
        <v>87</v>
      </c>
      <c r="H84" t="s">
        <v>121</v>
      </c>
      <c r="I84">
        <v>2</v>
      </c>
      <c r="J84">
        <v>1</v>
      </c>
      <c r="L84" s="4" t="s">
        <v>364</v>
      </c>
      <c r="M84">
        <v>3</v>
      </c>
      <c r="N84">
        <v>10.5</v>
      </c>
      <c r="O84" t="s">
        <v>132</v>
      </c>
      <c r="P84" t="s">
        <v>365</v>
      </c>
      <c r="R84" s="3">
        <v>0.12361111111111112</v>
      </c>
      <c r="S84" t="s">
        <v>133</v>
      </c>
      <c r="T84">
        <v>22399</v>
      </c>
      <c r="U84" t="s">
        <v>125</v>
      </c>
    </row>
    <row r="85" spans="1:21" x14ac:dyDescent="0.25">
      <c r="A85">
        <v>83</v>
      </c>
      <c r="B85">
        <v>83</v>
      </c>
      <c r="C85" t="s">
        <v>366</v>
      </c>
      <c r="D85" t="s">
        <v>112</v>
      </c>
      <c r="E85" t="s">
        <v>63</v>
      </c>
      <c r="G85" t="s">
        <v>87</v>
      </c>
      <c r="H85" t="s">
        <v>113</v>
      </c>
      <c r="I85">
        <v>3</v>
      </c>
      <c r="J85">
        <v>5</v>
      </c>
      <c r="L85" s="4" t="s">
        <v>367</v>
      </c>
      <c r="M85">
        <v>3</v>
      </c>
      <c r="N85">
        <v>11</v>
      </c>
      <c r="O85" t="s">
        <v>368</v>
      </c>
      <c r="P85" t="s">
        <v>124</v>
      </c>
      <c r="Q85" t="s">
        <v>179</v>
      </c>
      <c r="R85" s="3">
        <v>0.12291666666666667</v>
      </c>
      <c r="S85" t="s">
        <v>118</v>
      </c>
      <c r="T85">
        <v>0</v>
      </c>
      <c r="U85" t="s">
        <v>119</v>
      </c>
    </row>
    <row r="86" spans="1:21" x14ac:dyDescent="0.25">
      <c r="A86">
        <v>84</v>
      </c>
      <c r="B86">
        <v>84</v>
      </c>
      <c r="C86" t="s">
        <v>369</v>
      </c>
      <c r="D86" t="s">
        <v>112</v>
      </c>
      <c r="E86" t="s">
        <v>63</v>
      </c>
      <c r="G86" t="s">
        <v>87</v>
      </c>
      <c r="H86" t="s">
        <v>121</v>
      </c>
      <c r="I86">
        <v>4</v>
      </c>
      <c r="J86">
        <v>3</v>
      </c>
      <c r="L86" s="4" t="s">
        <v>370</v>
      </c>
      <c r="M86">
        <v>3</v>
      </c>
      <c r="N86">
        <v>11</v>
      </c>
      <c r="O86" t="s">
        <v>371</v>
      </c>
      <c r="P86" t="s">
        <v>372</v>
      </c>
      <c r="Q86" t="s">
        <v>132</v>
      </c>
      <c r="R86" s="3">
        <v>0.1173611111111111</v>
      </c>
      <c r="S86" t="s">
        <v>133</v>
      </c>
      <c r="T86">
        <v>39638</v>
      </c>
      <c r="U86" t="s">
        <v>125</v>
      </c>
    </row>
    <row r="87" spans="1:21" x14ac:dyDescent="0.25">
      <c r="A87">
        <v>85</v>
      </c>
      <c r="B87">
        <v>85</v>
      </c>
      <c r="C87" t="s">
        <v>373</v>
      </c>
      <c r="D87" t="s">
        <v>112</v>
      </c>
      <c r="E87" t="s">
        <v>63</v>
      </c>
      <c r="G87" t="s">
        <v>87</v>
      </c>
      <c r="H87" t="s">
        <v>113</v>
      </c>
      <c r="I87">
        <v>2</v>
      </c>
      <c r="J87">
        <v>10</v>
      </c>
      <c r="L87" s="4" t="s">
        <v>374</v>
      </c>
      <c r="M87">
        <v>4</v>
      </c>
      <c r="N87">
        <v>11</v>
      </c>
      <c r="O87" t="s">
        <v>176</v>
      </c>
      <c r="P87" t="s">
        <v>160</v>
      </c>
      <c r="R87" s="3">
        <v>0.13125000000000001</v>
      </c>
      <c r="S87" t="s">
        <v>118</v>
      </c>
      <c r="T87">
        <v>23522</v>
      </c>
      <c r="U87" t="s">
        <v>119</v>
      </c>
    </row>
    <row r="88" spans="1:21" x14ac:dyDescent="0.25">
      <c r="A88">
        <v>86</v>
      </c>
      <c r="B88">
        <v>86</v>
      </c>
      <c r="C88" t="s">
        <v>375</v>
      </c>
      <c r="D88" t="s">
        <v>112</v>
      </c>
      <c r="E88" t="s">
        <v>63</v>
      </c>
      <c r="G88" t="s">
        <v>70</v>
      </c>
      <c r="H88" t="s">
        <v>121</v>
      </c>
      <c r="I88">
        <v>5</v>
      </c>
      <c r="J88">
        <v>4</v>
      </c>
      <c r="K88">
        <v>10</v>
      </c>
      <c r="L88" s="4" t="s">
        <v>376</v>
      </c>
      <c r="M88">
        <v>4</v>
      </c>
      <c r="N88">
        <v>11</v>
      </c>
      <c r="O88" t="s">
        <v>148</v>
      </c>
      <c r="P88" t="s">
        <v>377</v>
      </c>
      <c r="R88" s="3">
        <v>0.14652777777777778</v>
      </c>
      <c r="S88" t="s">
        <v>118</v>
      </c>
      <c r="T88">
        <v>32937</v>
      </c>
      <c r="U88" t="s">
        <v>125</v>
      </c>
    </row>
    <row r="89" spans="1:21" x14ac:dyDescent="0.25">
      <c r="A89">
        <v>87</v>
      </c>
      <c r="B89">
        <v>87</v>
      </c>
      <c r="C89" t="s">
        <v>378</v>
      </c>
      <c r="D89" t="s">
        <v>112</v>
      </c>
      <c r="E89" t="s">
        <v>63</v>
      </c>
      <c r="G89" t="s">
        <v>70</v>
      </c>
      <c r="H89" t="s">
        <v>121</v>
      </c>
      <c r="I89">
        <v>3</v>
      </c>
      <c r="J89">
        <v>2</v>
      </c>
      <c r="L89" s="4" t="s">
        <v>379</v>
      </c>
      <c r="M89">
        <v>4</v>
      </c>
      <c r="N89">
        <v>11</v>
      </c>
      <c r="O89" t="s">
        <v>380</v>
      </c>
      <c r="P89" t="s">
        <v>381</v>
      </c>
      <c r="Q89" t="s">
        <v>132</v>
      </c>
      <c r="R89" s="3">
        <v>0.11527777777777777</v>
      </c>
      <c r="S89" t="s">
        <v>133</v>
      </c>
      <c r="T89">
        <v>19181</v>
      </c>
      <c r="U89" t="s">
        <v>144</v>
      </c>
    </row>
    <row r="90" spans="1:21" x14ac:dyDescent="0.25">
      <c r="A90">
        <v>88</v>
      </c>
      <c r="B90">
        <v>88</v>
      </c>
      <c r="C90" t="s">
        <v>382</v>
      </c>
      <c r="D90" t="s">
        <v>112</v>
      </c>
      <c r="E90" t="s">
        <v>63</v>
      </c>
      <c r="G90" t="s">
        <v>70</v>
      </c>
      <c r="H90" t="s">
        <v>121</v>
      </c>
      <c r="I90">
        <v>5</v>
      </c>
      <c r="J90">
        <v>4</v>
      </c>
      <c r="L90" s="4" t="s">
        <v>383</v>
      </c>
      <c r="M90">
        <v>4</v>
      </c>
      <c r="N90">
        <v>10</v>
      </c>
      <c r="O90" t="s">
        <v>371</v>
      </c>
      <c r="P90" t="s">
        <v>365</v>
      </c>
      <c r="Q90" t="s">
        <v>132</v>
      </c>
      <c r="R90" s="3">
        <v>0.12083333333333333</v>
      </c>
      <c r="S90" t="s">
        <v>133</v>
      </c>
      <c r="T90">
        <v>19631</v>
      </c>
      <c r="U90" t="s">
        <v>164</v>
      </c>
    </row>
    <row r="91" spans="1:21" x14ac:dyDescent="0.25">
      <c r="A91">
        <v>89</v>
      </c>
      <c r="B91">
        <v>89</v>
      </c>
      <c r="C91" t="s">
        <v>384</v>
      </c>
      <c r="D91" t="s">
        <v>112</v>
      </c>
      <c r="E91" t="s">
        <v>63</v>
      </c>
      <c r="G91" t="s">
        <v>70</v>
      </c>
      <c r="H91" t="s">
        <v>113</v>
      </c>
      <c r="I91">
        <v>9</v>
      </c>
      <c r="J91">
        <v>10</v>
      </c>
      <c r="L91" s="4" t="s">
        <v>385</v>
      </c>
      <c r="M91">
        <v>4</v>
      </c>
      <c r="N91">
        <v>10.5</v>
      </c>
      <c r="O91" t="s">
        <v>386</v>
      </c>
      <c r="P91" t="s">
        <v>148</v>
      </c>
      <c r="Q91" t="s">
        <v>387</v>
      </c>
      <c r="R91" s="3">
        <v>0.14652777777777778</v>
      </c>
      <c r="S91" t="s">
        <v>133</v>
      </c>
      <c r="T91">
        <v>22016</v>
      </c>
      <c r="U91" t="s">
        <v>119</v>
      </c>
    </row>
    <row r="92" spans="1:21" x14ac:dyDescent="0.25">
      <c r="A92">
        <v>90</v>
      </c>
      <c r="B92">
        <v>90</v>
      </c>
      <c r="C92" t="s">
        <v>388</v>
      </c>
      <c r="D92" t="s">
        <v>112</v>
      </c>
      <c r="E92" t="s">
        <v>63</v>
      </c>
      <c r="G92" t="s">
        <v>74</v>
      </c>
      <c r="H92" t="s">
        <v>113</v>
      </c>
      <c r="I92">
        <v>2</v>
      </c>
      <c r="J92">
        <v>3</v>
      </c>
      <c r="L92" s="4" t="s">
        <v>389</v>
      </c>
      <c r="M92">
        <v>4</v>
      </c>
      <c r="N92">
        <v>11.5</v>
      </c>
      <c r="O92" t="s">
        <v>390</v>
      </c>
      <c r="P92" t="s">
        <v>122</v>
      </c>
      <c r="Q92" t="s">
        <v>391</v>
      </c>
      <c r="R92" s="3">
        <v>0.11666666666666665</v>
      </c>
      <c r="S92" t="s">
        <v>133</v>
      </c>
      <c r="T92">
        <v>19046</v>
      </c>
      <c r="U92" t="s">
        <v>134</v>
      </c>
    </row>
    <row r="93" spans="1:21" x14ac:dyDescent="0.25">
      <c r="A93">
        <v>91</v>
      </c>
      <c r="B93">
        <v>91</v>
      </c>
      <c r="C93" t="s">
        <v>392</v>
      </c>
      <c r="D93" t="s">
        <v>112</v>
      </c>
      <c r="E93" t="s">
        <v>63</v>
      </c>
      <c r="G93" t="s">
        <v>74</v>
      </c>
      <c r="H93" t="s">
        <v>113</v>
      </c>
      <c r="I93">
        <v>1</v>
      </c>
      <c r="J93">
        <v>2</v>
      </c>
      <c r="L93" s="4" t="s">
        <v>393</v>
      </c>
      <c r="M93">
        <v>4</v>
      </c>
      <c r="N93">
        <v>11.5</v>
      </c>
      <c r="O93" t="s">
        <v>394</v>
      </c>
      <c r="P93" t="s">
        <v>160</v>
      </c>
      <c r="Q93" t="s">
        <v>391</v>
      </c>
      <c r="R93" s="3">
        <v>0.10972222222222222</v>
      </c>
      <c r="S93" t="s">
        <v>133</v>
      </c>
      <c r="T93">
        <v>29441</v>
      </c>
      <c r="U93" t="s">
        <v>139</v>
      </c>
    </row>
    <row r="94" spans="1:21" x14ac:dyDescent="0.25">
      <c r="A94">
        <v>92</v>
      </c>
      <c r="B94">
        <v>92</v>
      </c>
      <c r="C94" t="s">
        <v>395</v>
      </c>
      <c r="D94" t="s">
        <v>112</v>
      </c>
      <c r="E94" t="s">
        <v>63</v>
      </c>
      <c r="G94" t="s">
        <v>74</v>
      </c>
      <c r="H94" t="s">
        <v>121</v>
      </c>
      <c r="I94">
        <v>2</v>
      </c>
      <c r="J94">
        <v>0</v>
      </c>
      <c r="L94" s="4" t="s">
        <v>396</v>
      </c>
      <c r="M94">
        <v>4</v>
      </c>
      <c r="N94">
        <v>11.5</v>
      </c>
      <c r="O94" t="s">
        <v>128</v>
      </c>
      <c r="P94" t="s">
        <v>397</v>
      </c>
      <c r="Q94" t="s">
        <v>132</v>
      </c>
      <c r="R94" s="3">
        <v>9.8611111111111108E-2</v>
      </c>
      <c r="S94" t="s">
        <v>118</v>
      </c>
      <c r="T94">
        <v>21186</v>
      </c>
      <c r="U94" t="s">
        <v>125</v>
      </c>
    </row>
    <row r="95" spans="1:21" hidden="1" x14ac:dyDescent="0.25">
      <c r="A95">
        <v>93</v>
      </c>
      <c r="B95">
        <v>93</v>
      </c>
      <c r="C95" t="s">
        <v>398</v>
      </c>
      <c r="D95" t="s">
        <v>112</v>
      </c>
      <c r="E95" t="s">
        <v>63</v>
      </c>
      <c r="F95" t="s">
        <v>130</v>
      </c>
      <c r="G95" t="s">
        <v>67</v>
      </c>
      <c r="H95" t="s">
        <v>113</v>
      </c>
      <c r="I95">
        <v>1</v>
      </c>
      <c r="J95">
        <v>11</v>
      </c>
      <c r="L95" s="4" t="s">
        <v>399</v>
      </c>
      <c r="M95">
        <v>4</v>
      </c>
      <c r="N95">
        <v>12.5</v>
      </c>
      <c r="O95" t="s">
        <v>127</v>
      </c>
      <c r="P95" t="s">
        <v>116</v>
      </c>
      <c r="R95" s="3">
        <v>0.12222222222222223</v>
      </c>
      <c r="S95" t="s">
        <v>133</v>
      </c>
      <c r="T95">
        <v>34106</v>
      </c>
      <c r="U95" t="s">
        <v>119</v>
      </c>
    </row>
    <row r="96" spans="1:21" hidden="1" x14ac:dyDescent="0.25">
      <c r="A96">
        <v>94</v>
      </c>
      <c r="B96">
        <v>94</v>
      </c>
      <c r="C96" t="s">
        <v>400</v>
      </c>
      <c r="D96" t="s">
        <v>112</v>
      </c>
      <c r="E96" t="s">
        <v>63</v>
      </c>
      <c r="F96" t="s">
        <v>130</v>
      </c>
      <c r="G96" t="s">
        <v>67</v>
      </c>
      <c r="H96" t="s">
        <v>121</v>
      </c>
      <c r="I96">
        <v>5</v>
      </c>
      <c r="J96">
        <v>2</v>
      </c>
      <c r="L96" s="4" t="s">
        <v>401</v>
      </c>
      <c r="M96">
        <v>4</v>
      </c>
      <c r="N96">
        <v>11.5</v>
      </c>
      <c r="O96" t="s">
        <v>122</v>
      </c>
      <c r="P96" t="s">
        <v>123</v>
      </c>
      <c r="Q96" t="s">
        <v>132</v>
      </c>
      <c r="R96" s="3">
        <v>0.12569444444444444</v>
      </c>
      <c r="S96" t="s">
        <v>133</v>
      </c>
      <c r="T96">
        <v>42456</v>
      </c>
      <c r="U96" t="s">
        <v>125</v>
      </c>
    </row>
    <row r="97" spans="1:21" hidden="1" x14ac:dyDescent="0.25">
      <c r="A97">
        <v>95</v>
      </c>
      <c r="B97">
        <v>95</v>
      </c>
      <c r="C97" t="s">
        <v>402</v>
      </c>
      <c r="D97" t="s">
        <v>112</v>
      </c>
      <c r="E97" t="s">
        <v>63</v>
      </c>
      <c r="F97" t="s">
        <v>130</v>
      </c>
      <c r="G97" t="s">
        <v>67</v>
      </c>
      <c r="H97" t="s">
        <v>113</v>
      </c>
      <c r="I97">
        <v>8</v>
      </c>
      <c r="J97">
        <v>9</v>
      </c>
      <c r="L97" s="4" t="s">
        <v>403</v>
      </c>
      <c r="M97">
        <v>4</v>
      </c>
      <c r="N97">
        <v>12.5</v>
      </c>
      <c r="O97" t="s">
        <v>117</v>
      </c>
      <c r="P97" t="s">
        <v>371</v>
      </c>
      <c r="R97" s="3">
        <v>0.1388888888888889</v>
      </c>
      <c r="S97" t="s">
        <v>118</v>
      </c>
      <c r="T97">
        <v>30314</v>
      </c>
      <c r="U97" t="s">
        <v>119</v>
      </c>
    </row>
    <row r="98" spans="1:21" hidden="1" x14ac:dyDescent="0.25">
      <c r="A98">
        <v>96</v>
      </c>
      <c r="B98">
        <v>96</v>
      </c>
      <c r="C98" t="s">
        <v>404</v>
      </c>
      <c r="D98" t="s">
        <v>112</v>
      </c>
      <c r="E98" t="s">
        <v>63</v>
      </c>
      <c r="F98" t="s">
        <v>130</v>
      </c>
      <c r="G98" t="s">
        <v>77</v>
      </c>
      <c r="H98" t="s">
        <v>121</v>
      </c>
      <c r="I98">
        <v>5</v>
      </c>
      <c r="J98">
        <v>2</v>
      </c>
      <c r="L98" s="4" t="s">
        <v>405</v>
      </c>
      <c r="M98">
        <v>3</v>
      </c>
      <c r="N98">
        <v>11.5</v>
      </c>
      <c r="O98" t="s">
        <v>160</v>
      </c>
      <c r="P98" t="s">
        <v>406</v>
      </c>
      <c r="Q98" t="s">
        <v>132</v>
      </c>
      <c r="R98" s="3">
        <v>0.10902777777777778</v>
      </c>
      <c r="S98" t="s">
        <v>133</v>
      </c>
      <c r="T98">
        <v>28975</v>
      </c>
      <c r="U98" t="s">
        <v>125</v>
      </c>
    </row>
    <row r="99" spans="1:21" hidden="1" x14ac:dyDescent="0.25">
      <c r="A99">
        <v>97</v>
      </c>
      <c r="B99">
        <v>97</v>
      </c>
      <c r="C99" t="s">
        <v>407</v>
      </c>
      <c r="D99" t="s">
        <v>112</v>
      </c>
      <c r="E99" t="s">
        <v>63</v>
      </c>
      <c r="F99" t="s">
        <v>130</v>
      </c>
      <c r="G99" t="s">
        <v>77</v>
      </c>
      <c r="H99" t="s">
        <v>113</v>
      </c>
      <c r="I99">
        <v>6</v>
      </c>
      <c r="J99">
        <v>7</v>
      </c>
      <c r="L99" s="4" t="s">
        <v>408</v>
      </c>
      <c r="M99">
        <v>4</v>
      </c>
      <c r="N99">
        <v>12.5</v>
      </c>
      <c r="O99" t="s">
        <v>409</v>
      </c>
      <c r="P99" t="s">
        <v>128</v>
      </c>
      <c r="Q99" t="s">
        <v>410</v>
      </c>
      <c r="R99" s="3">
        <v>0.13333333333333333</v>
      </c>
      <c r="S99" t="s">
        <v>133</v>
      </c>
      <c r="T99">
        <v>32418</v>
      </c>
      <c r="U99" t="s">
        <v>119</v>
      </c>
    </row>
    <row r="100" spans="1:21" hidden="1" x14ac:dyDescent="0.25">
      <c r="A100">
        <v>98</v>
      </c>
      <c r="B100">
        <v>98</v>
      </c>
      <c r="C100" t="s">
        <v>411</v>
      </c>
      <c r="D100" t="s">
        <v>112</v>
      </c>
      <c r="E100" t="s">
        <v>63</v>
      </c>
      <c r="F100" t="s">
        <v>130</v>
      </c>
      <c r="G100" t="s">
        <v>77</v>
      </c>
      <c r="H100" t="s">
        <v>113</v>
      </c>
      <c r="I100">
        <v>2</v>
      </c>
      <c r="J100">
        <v>3</v>
      </c>
      <c r="K100">
        <v>11</v>
      </c>
      <c r="L100" s="4" t="s">
        <v>412</v>
      </c>
      <c r="M100">
        <v>4</v>
      </c>
      <c r="N100">
        <v>13.5</v>
      </c>
      <c r="O100" t="s">
        <v>293</v>
      </c>
      <c r="P100" t="s">
        <v>141</v>
      </c>
      <c r="R100" s="3">
        <v>0.14166666666666666</v>
      </c>
      <c r="S100" t="s">
        <v>118</v>
      </c>
      <c r="T100">
        <v>29605</v>
      </c>
      <c r="U100" t="s">
        <v>134</v>
      </c>
    </row>
    <row r="101" spans="1:21" hidden="1" x14ac:dyDescent="0.25">
      <c r="A101">
        <v>99</v>
      </c>
      <c r="B101">
        <v>99</v>
      </c>
      <c r="C101" t="s">
        <v>413</v>
      </c>
      <c r="D101" t="s">
        <v>112</v>
      </c>
      <c r="E101" t="s">
        <v>63</v>
      </c>
      <c r="F101" t="s">
        <v>130</v>
      </c>
      <c r="G101" t="s">
        <v>80</v>
      </c>
      <c r="H101" t="s">
        <v>121</v>
      </c>
      <c r="I101">
        <v>7</v>
      </c>
      <c r="J101">
        <v>2</v>
      </c>
      <c r="L101" s="4" t="s">
        <v>414</v>
      </c>
      <c r="M101">
        <v>4</v>
      </c>
      <c r="N101">
        <v>13.5</v>
      </c>
      <c r="O101" t="s">
        <v>122</v>
      </c>
      <c r="P101" t="s">
        <v>415</v>
      </c>
      <c r="R101" s="3">
        <v>0.14027777777777778</v>
      </c>
      <c r="S101" t="s">
        <v>133</v>
      </c>
      <c r="T101">
        <v>39839</v>
      </c>
      <c r="U101" t="s">
        <v>125</v>
      </c>
    </row>
    <row r="102" spans="1:21" hidden="1" x14ac:dyDescent="0.25">
      <c r="A102">
        <v>100</v>
      </c>
      <c r="B102">
        <v>100</v>
      </c>
      <c r="C102" t="s">
        <v>416</v>
      </c>
      <c r="D102" t="s">
        <v>112</v>
      </c>
      <c r="E102" t="s">
        <v>63</v>
      </c>
      <c r="F102" t="s">
        <v>130</v>
      </c>
      <c r="G102" t="s">
        <v>80</v>
      </c>
      <c r="H102" t="s">
        <v>113</v>
      </c>
      <c r="I102">
        <v>6</v>
      </c>
      <c r="J102">
        <v>7</v>
      </c>
      <c r="L102" s="4" t="s">
        <v>417</v>
      </c>
      <c r="M102">
        <v>4</v>
      </c>
      <c r="N102">
        <v>14.5</v>
      </c>
      <c r="O102" t="s">
        <v>418</v>
      </c>
      <c r="P102" t="s">
        <v>371</v>
      </c>
      <c r="R102" s="3">
        <v>0.13958333333333334</v>
      </c>
      <c r="S102" t="s">
        <v>133</v>
      </c>
      <c r="T102">
        <v>34590</v>
      </c>
      <c r="U102" t="s">
        <v>119</v>
      </c>
    </row>
    <row r="103" spans="1:21" hidden="1" x14ac:dyDescent="0.25">
      <c r="A103">
        <v>101</v>
      </c>
      <c r="B103">
        <v>101</v>
      </c>
      <c r="C103" t="s">
        <v>419</v>
      </c>
      <c r="D103" t="s">
        <v>112</v>
      </c>
      <c r="E103" t="s">
        <v>63</v>
      </c>
      <c r="F103" t="s">
        <v>130</v>
      </c>
      <c r="G103" t="s">
        <v>80</v>
      </c>
      <c r="H103" t="s">
        <v>113</v>
      </c>
      <c r="I103">
        <v>1</v>
      </c>
      <c r="J103">
        <v>3</v>
      </c>
      <c r="L103" s="4" t="s">
        <v>420</v>
      </c>
      <c r="M103">
        <v>4</v>
      </c>
      <c r="N103">
        <v>15.5</v>
      </c>
      <c r="O103" t="s">
        <v>421</v>
      </c>
      <c r="P103" t="s">
        <v>160</v>
      </c>
      <c r="Q103" t="s">
        <v>418</v>
      </c>
      <c r="R103" s="3">
        <v>0.11527777777777777</v>
      </c>
      <c r="S103" t="s">
        <v>118</v>
      </c>
      <c r="T103">
        <v>36458</v>
      </c>
      <c r="U103" t="s">
        <v>134</v>
      </c>
    </row>
    <row r="104" spans="1:21" x14ac:dyDescent="0.25">
      <c r="A104">
        <v>102</v>
      </c>
      <c r="B104">
        <v>102</v>
      </c>
      <c r="C104" t="s">
        <v>422</v>
      </c>
      <c r="D104" t="s">
        <v>112</v>
      </c>
      <c r="E104" t="s">
        <v>63</v>
      </c>
      <c r="G104" t="s">
        <v>76</v>
      </c>
      <c r="H104" t="s">
        <v>113</v>
      </c>
      <c r="I104">
        <v>2</v>
      </c>
      <c r="J104">
        <v>11</v>
      </c>
      <c r="L104" s="4" t="s">
        <v>423</v>
      </c>
      <c r="M104">
        <v>5</v>
      </c>
      <c r="N104">
        <v>16</v>
      </c>
      <c r="O104" t="s">
        <v>424</v>
      </c>
      <c r="P104" t="s">
        <v>128</v>
      </c>
      <c r="R104" s="3">
        <v>0.13125000000000001</v>
      </c>
      <c r="S104" t="s">
        <v>133</v>
      </c>
      <c r="T104">
        <v>24650</v>
      </c>
      <c r="U104" t="s">
        <v>139</v>
      </c>
    </row>
    <row r="105" spans="1:21" x14ac:dyDescent="0.25">
      <c r="A105">
        <v>103</v>
      </c>
      <c r="B105">
        <v>103</v>
      </c>
      <c r="C105" t="s">
        <v>425</v>
      </c>
      <c r="D105" t="s">
        <v>112</v>
      </c>
      <c r="E105" t="s">
        <v>63</v>
      </c>
      <c r="G105" t="s">
        <v>76</v>
      </c>
      <c r="H105" t="s">
        <v>113</v>
      </c>
      <c r="I105">
        <v>5</v>
      </c>
      <c r="J105">
        <v>7</v>
      </c>
      <c r="L105" s="4" t="s">
        <v>426</v>
      </c>
      <c r="M105">
        <v>5</v>
      </c>
      <c r="N105">
        <v>16</v>
      </c>
      <c r="O105" t="s">
        <v>228</v>
      </c>
      <c r="P105" t="s">
        <v>116</v>
      </c>
      <c r="Q105" t="s">
        <v>138</v>
      </c>
      <c r="R105" s="3">
        <v>0.14166666666666666</v>
      </c>
      <c r="S105" t="s">
        <v>133</v>
      </c>
      <c r="T105">
        <v>21974</v>
      </c>
      <c r="U105" t="s">
        <v>254</v>
      </c>
    </row>
    <row r="106" spans="1:21" x14ac:dyDescent="0.25">
      <c r="A106">
        <v>104</v>
      </c>
      <c r="B106">
        <v>104</v>
      </c>
      <c r="C106" t="s">
        <v>427</v>
      </c>
      <c r="D106" t="s">
        <v>112</v>
      </c>
      <c r="E106" t="s">
        <v>63</v>
      </c>
      <c r="G106" t="s">
        <v>76</v>
      </c>
      <c r="H106" t="s">
        <v>113</v>
      </c>
      <c r="I106">
        <v>2</v>
      </c>
      <c r="J106">
        <v>5</v>
      </c>
      <c r="L106" s="4" t="s">
        <v>428</v>
      </c>
      <c r="M106">
        <v>5</v>
      </c>
      <c r="N106">
        <v>16</v>
      </c>
      <c r="O106" t="s">
        <v>136</v>
      </c>
      <c r="P106" t="s">
        <v>122</v>
      </c>
      <c r="R106" s="3">
        <v>0.15138888888888888</v>
      </c>
      <c r="S106" t="s">
        <v>118</v>
      </c>
      <c r="T106">
        <v>24153</v>
      </c>
      <c r="U106" t="s">
        <v>258</v>
      </c>
    </row>
    <row r="107" spans="1:21" x14ac:dyDescent="0.25">
      <c r="A107">
        <v>105</v>
      </c>
      <c r="B107">
        <v>105</v>
      </c>
      <c r="C107" t="s">
        <v>429</v>
      </c>
      <c r="D107" t="s">
        <v>112</v>
      </c>
      <c r="E107" t="s">
        <v>63</v>
      </c>
      <c r="G107" t="s">
        <v>83</v>
      </c>
      <c r="H107" t="s">
        <v>113</v>
      </c>
      <c r="I107">
        <v>5</v>
      </c>
      <c r="J107">
        <v>8</v>
      </c>
      <c r="L107" s="4" t="s">
        <v>430</v>
      </c>
      <c r="M107">
        <v>5</v>
      </c>
      <c r="N107">
        <v>17</v>
      </c>
      <c r="O107" t="s">
        <v>237</v>
      </c>
      <c r="P107" t="s">
        <v>431</v>
      </c>
      <c r="Q107" t="s">
        <v>432</v>
      </c>
      <c r="R107" s="3">
        <v>0.12152777777777778</v>
      </c>
      <c r="S107" t="s">
        <v>133</v>
      </c>
      <c r="T107">
        <v>30114</v>
      </c>
      <c r="U107" t="s">
        <v>433</v>
      </c>
    </row>
    <row r="108" spans="1:21" x14ac:dyDescent="0.25">
      <c r="A108">
        <v>106</v>
      </c>
      <c r="B108">
        <v>106</v>
      </c>
      <c r="C108" t="s">
        <v>434</v>
      </c>
      <c r="D108" t="s">
        <v>112</v>
      </c>
      <c r="E108" t="s">
        <v>63</v>
      </c>
      <c r="G108" t="s">
        <v>83</v>
      </c>
      <c r="H108" t="s">
        <v>121</v>
      </c>
      <c r="I108">
        <v>3</v>
      </c>
      <c r="J108">
        <v>0</v>
      </c>
      <c r="L108" s="4" t="s">
        <v>435</v>
      </c>
      <c r="M108">
        <v>5</v>
      </c>
      <c r="N108">
        <v>17</v>
      </c>
      <c r="O108" t="s">
        <v>283</v>
      </c>
      <c r="P108" t="s">
        <v>143</v>
      </c>
      <c r="Q108" t="s">
        <v>132</v>
      </c>
      <c r="R108" s="3">
        <v>0.10416666666666667</v>
      </c>
      <c r="S108" t="s">
        <v>133</v>
      </c>
      <c r="T108">
        <v>35414</v>
      </c>
      <c r="U108" t="s">
        <v>125</v>
      </c>
    </row>
    <row r="109" spans="1:21" x14ac:dyDescent="0.25">
      <c r="A109">
        <v>107</v>
      </c>
      <c r="B109">
        <v>107</v>
      </c>
      <c r="C109" t="s">
        <v>436</v>
      </c>
      <c r="D109" t="s">
        <v>112</v>
      </c>
      <c r="E109" t="s">
        <v>63</v>
      </c>
      <c r="G109" t="s">
        <v>83</v>
      </c>
      <c r="H109" t="s">
        <v>121</v>
      </c>
      <c r="I109">
        <v>3</v>
      </c>
      <c r="J109">
        <v>2</v>
      </c>
      <c r="L109" s="4" t="s">
        <v>437</v>
      </c>
      <c r="M109">
        <v>5</v>
      </c>
      <c r="N109">
        <v>17</v>
      </c>
      <c r="O109" t="s">
        <v>132</v>
      </c>
      <c r="P109" t="s">
        <v>438</v>
      </c>
      <c r="R109" s="3">
        <v>0.12638888888888888</v>
      </c>
      <c r="S109" t="s">
        <v>118</v>
      </c>
      <c r="T109">
        <v>25307</v>
      </c>
      <c r="U109" t="s">
        <v>144</v>
      </c>
    </row>
    <row r="110" spans="1:21" x14ac:dyDescent="0.25">
      <c r="A110">
        <v>108</v>
      </c>
      <c r="B110">
        <v>108</v>
      </c>
      <c r="C110" t="s">
        <v>439</v>
      </c>
      <c r="D110" t="s">
        <v>112</v>
      </c>
      <c r="E110" t="s">
        <v>63</v>
      </c>
      <c r="G110" t="s">
        <v>67</v>
      </c>
      <c r="H110" t="s">
        <v>121</v>
      </c>
      <c r="I110">
        <v>5</v>
      </c>
      <c r="J110">
        <v>3</v>
      </c>
      <c r="L110" s="4" t="s">
        <v>440</v>
      </c>
      <c r="M110">
        <v>5</v>
      </c>
      <c r="N110">
        <v>17</v>
      </c>
      <c r="O110" t="s">
        <v>116</v>
      </c>
      <c r="P110" t="s">
        <v>441</v>
      </c>
      <c r="Q110" t="s">
        <v>132</v>
      </c>
      <c r="R110" s="3">
        <v>0.10416666666666667</v>
      </c>
      <c r="S110" t="s">
        <v>133</v>
      </c>
      <c r="T110">
        <v>19940</v>
      </c>
      <c r="U110" t="s">
        <v>164</v>
      </c>
    </row>
    <row r="111" spans="1:21" x14ac:dyDescent="0.25">
      <c r="A111">
        <v>109</v>
      </c>
      <c r="B111">
        <v>109</v>
      </c>
      <c r="C111" t="s">
        <v>442</v>
      </c>
      <c r="D111" t="s">
        <v>112</v>
      </c>
      <c r="E111" t="s">
        <v>63</v>
      </c>
      <c r="G111" t="s">
        <v>67</v>
      </c>
      <c r="H111" t="s">
        <v>121</v>
      </c>
      <c r="I111">
        <v>9</v>
      </c>
      <c r="J111">
        <v>3</v>
      </c>
      <c r="L111" s="4" t="s">
        <v>443</v>
      </c>
      <c r="M111">
        <v>5</v>
      </c>
      <c r="N111">
        <v>17</v>
      </c>
      <c r="O111" t="s">
        <v>122</v>
      </c>
      <c r="P111" t="s">
        <v>115</v>
      </c>
      <c r="R111" s="3">
        <v>0.1125</v>
      </c>
      <c r="S111" t="s">
        <v>133</v>
      </c>
      <c r="T111">
        <v>24326</v>
      </c>
      <c r="U111" t="s">
        <v>167</v>
      </c>
    </row>
    <row r="112" spans="1:21" x14ac:dyDescent="0.25">
      <c r="A112">
        <v>110</v>
      </c>
      <c r="B112">
        <v>110</v>
      </c>
      <c r="C112" t="s">
        <v>444</v>
      </c>
      <c r="D112" t="s">
        <v>112</v>
      </c>
      <c r="E112" t="s">
        <v>63</v>
      </c>
      <c r="G112" t="s">
        <v>67</v>
      </c>
      <c r="H112" t="s">
        <v>113</v>
      </c>
      <c r="I112">
        <v>4</v>
      </c>
      <c r="J112">
        <v>6</v>
      </c>
      <c r="L112" s="4" t="s">
        <v>445</v>
      </c>
      <c r="M112">
        <v>5</v>
      </c>
      <c r="N112">
        <v>18</v>
      </c>
      <c r="O112" t="s">
        <v>446</v>
      </c>
      <c r="P112" t="s">
        <v>431</v>
      </c>
      <c r="Q112" t="s">
        <v>117</v>
      </c>
      <c r="R112" s="3">
        <v>0.12222222222222223</v>
      </c>
      <c r="S112" t="s">
        <v>118</v>
      </c>
      <c r="T112">
        <v>20043</v>
      </c>
      <c r="U112" t="s">
        <v>119</v>
      </c>
    </row>
    <row r="113" spans="1:21" hidden="1" x14ac:dyDescent="0.25">
      <c r="A113">
        <v>111</v>
      </c>
      <c r="B113">
        <v>111</v>
      </c>
      <c r="C113" t="s">
        <v>447</v>
      </c>
      <c r="D113" t="s">
        <v>112</v>
      </c>
      <c r="E113" t="s">
        <v>63</v>
      </c>
      <c r="F113" t="s">
        <v>130</v>
      </c>
      <c r="G113" t="s">
        <v>74</v>
      </c>
      <c r="H113" t="s">
        <v>113</v>
      </c>
      <c r="I113">
        <v>3</v>
      </c>
      <c r="J113">
        <v>6</v>
      </c>
      <c r="L113" s="4" t="s">
        <v>448</v>
      </c>
      <c r="M113">
        <v>5</v>
      </c>
      <c r="N113">
        <v>19</v>
      </c>
      <c r="O113" t="s">
        <v>449</v>
      </c>
      <c r="P113" t="s">
        <v>380</v>
      </c>
      <c r="R113" s="3">
        <v>0.11944444444444445</v>
      </c>
      <c r="S113" t="s">
        <v>133</v>
      </c>
      <c r="T113">
        <v>35956</v>
      </c>
      <c r="U113" t="s">
        <v>134</v>
      </c>
    </row>
    <row r="114" spans="1:21" hidden="1" x14ac:dyDescent="0.25">
      <c r="A114">
        <v>112</v>
      </c>
      <c r="B114">
        <v>112</v>
      </c>
      <c r="C114" t="s">
        <v>450</v>
      </c>
      <c r="D114" t="s">
        <v>112</v>
      </c>
      <c r="E114" t="s">
        <v>63</v>
      </c>
      <c r="F114" t="s">
        <v>130</v>
      </c>
      <c r="G114" t="s">
        <v>74</v>
      </c>
      <c r="H114" t="s">
        <v>121</v>
      </c>
      <c r="I114">
        <v>5</v>
      </c>
      <c r="J114">
        <v>3</v>
      </c>
      <c r="L114" s="4" t="s">
        <v>451</v>
      </c>
      <c r="M114">
        <v>5</v>
      </c>
      <c r="N114">
        <v>19</v>
      </c>
      <c r="O114" t="s">
        <v>128</v>
      </c>
      <c r="P114" t="s">
        <v>452</v>
      </c>
      <c r="Q114" t="s">
        <v>132</v>
      </c>
      <c r="R114" s="3">
        <v>0.14444444444444446</v>
      </c>
      <c r="S114" t="s">
        <v>133</v>
      </c>
      <c r="T114">
        <v>35034</v>
      </c>
      <c r="U114" t="s">
        <v>125</v>
      </c>
    </row>
    <row r="115" spans="1:21" hidden="1" x14ac:dyDescent="0.25">
      <c r="A115">
        <v>113</v>
      </c>
      <c r="B115">
        <v>113</v>
      </c>
      <c r="C115" t="s">
        <v>453</v>
      </c>
      <c r="D115" t="s">
        <v>112</v>
      </c>
      <c r="E115" t="s">
        <v>63</v>
      </c>
      <c r="F115" t="s">
        <v>130</v>
      </c>
      <c r="G115" t="s">
        <v>74</v>
      </c>
      <c r="H115" t="s">
        <v>113</v>
      </c>
      <c r="I115">
        <v>7</v>
      </c>
      <c r="J115">
        <v>15</v>
      </c>
      <c r="L115" s="4" t="s">
        <v>454</v>
      </c>
      <c r="M115">
        <v>5</v>
      </c>
      <c r="N115">
        <v>20</v>
      </c>
      <c r="O115" t="s">
        <v>397</v>
      </c>
      <c r="P115" t="s">
        <v>116</v>
      </c>
      <c r="R115" s="3">
        <v>0.13333333333333333</v>
      </c>
      <c r="S115" t="s">
        <v>133</v>
      </c>
      <c r="T115">
        <v>43321</v>
      </c>
      <c r="U115" t="s">
        <v>119</v>
      </c>
    </row>
    <row r="116" spans="1:21" hidden="1" x14ac:dyDescent="0.25">
      <c r="A116">
        <v>114</v>
      </c>
      <c r="B116">
        <v>114</v>
      </c>
      <c r="C116" t="s">
        <v>455</v>
      </c>
      <c r="D116" t="s">
        <v>112</v>
      </c>
      <c r="E116" t="s">
        <v>63</v>
      </c>
      <c r="F116" t="s">
        <v>130</v>
      </c>
      <c r="G116" t="s">
        <v>74</v>
      </c>
      <c r="H116" t="s">
        <v>121</v>
      </c>
      <c r="I116">
        <v>3</v>
      </c>
      <c r="J116">
        <v>2</v>
      </c>
      <c r="L116" s="4" t="s">
        <v>456</v>
      </c>
      <c r="M116">
        <v>4</v>
      </c>
      <c r="N116">
        <v>19</v>
      </c>
      <c r="O116" t="s">
        <v>340</v>
      </c>
      <c r="P116" t="s">
        <v>457</v>
      </c>
      <c r="Q116" t="s">
        <v>132</v>
      </c>
      <c r="R116" s="3">
        <v>0.12291666666666667</v>
      </c>
      <c r="S116" t="s">
        <v>118</v>
      </c>
      <c r="T116">
        <v>34812</v>
      </c>
      <c r="U116" t="s">
        <v>125</v>
      </c>
    </row>
    <row r="117" spans="1:21" hidden="1" x14ac:dyDescent="0.25">
      <c r="A117">
        <v>115</v>
      </c>
      <c r="B117">
        <v>115</v>
      </c>
      <c r="C117" t="s">
        <v>458</v>
      </c>
      <c r="D117" t="s">
        <v>112</v>
      </c>
      <c r="E117" t="s">
        <v>63</v>
      </c>
      <c r="F117" t="s">
        <v>130</v>
      </c>
      <c r="G117" t="s">
        <v>70</v>
      </c>
      <c r="H117" t="s">
        <v>121</v>
      </c>
      <c r="I117">
        <v>3</v>
      </c>
      <c r="J117">
        <v>1</v>
      </c>
      <c r="L117" s="4" t="s">
        <v>459</v>
      </c>
      <c r="M117">
        <v>4</v>
      </c>
      <c r="N117">
        <v>19.5</v>
      </c>
      <c r="O117" t="s">
        <v>431</v>
      </c>
      <c r="P117" t="s">
        <v>460</v>
      </c>
      <c r="Q117" t="s">
        <v>132</v>
      </c>
      <c r="R117" s="3">
        <v>0.11180555555555556</v>
      </c>
      <c r="S117" t="s">
        <v>133</v>
      </c>
      <c r="T117">
        <v>37109</v>
      </c>
      <c r="U117" t="s">
        <v>144</v>
      </c>
    </row>
    <row r="118" spans="1:21" hidden="1" x14ac:dyDescent="0.25">
      <c r="A118">
        <v>116</v>
      </c>
      <c r="B118">
        <v>116</v>
      </c>
      <c r="C118" t="s">
        <v>461</v>
      </c>
      <c r="D118" t="s">
        <v>112</v>
      </c>
      <c r="E118" t="s">
        <v>63</v>
      </c>
      <c r="F118" t="s">
        <v>130</v>
      </c>
      <c r="G118" t="s">
        <v>70</v>
      </c>
      <c r="H118" t="s">
        <v>113</v>
      </c>
      <c r="I118">
        <v>2</v>
      </c>
      <c r="J118">
        <v>4</v>
      </c>
      <c r="L118" s="4" t="s">
        <v>462</v>
      </c>
      <c r="M118">
        <v>4</v>
      </c>
      <c r="N118">
        <v>20.5</v>
      </c>
      <c r="O118" t="s">
        <v>293</v>
      </c>
      <c r="P118" t="s">
        <v>380</v>
      </c>
      <c r="Q118" t="s">
        <v>387</v>
      </c>
      <c r="R118" s="3">
        <v>0.11527777777777777</v>
      </c>
      <c r="S118" t="s">
        <v>133</v>
      </c>
      <c r="T118">
        <v>38010</v>
      </c>
      <c r="U118" t="s">
        <v>119</v>
      </c>
    </row>
    <row r="119" spans="1:21" hidden="1" x14ac:dyDescent="0.25">
      <c r="A119">
        <v>117</v>
      </c>
      <c r="B119">
        <v>117</v>
      </c>
      <c r="C119" t="s">
        <v>463</v>
      </c>
      <c r="D119" t="s">
        <v>112</v>
      </c>
      <c r="E119" t="s">
        <v>63</v>
      </c>
      <c r="F119" t="s">
        <v>130</v>
      </c>
      <c r="G119" t="s">
        <v>70</v>
      </c>
      <c r="H119" t="s">
        <v>113</v>
      </c>
      <c r="I119">
        <v>3</v>
      </c>
      <c r="J119">
        <v>4</v>
      </c>
      <c r="L119" s="4" t="s">
        <v>464</v>
      </c>
      <c r="M119">
        <v>4</v>
      </c>
      <c r="N119">
        <v>21</v>
      </c>
      <c r="O119" t="s">
        <v>465</v>
      </c>
      <c r="P119" t="s">
        <v>128</v>
      </c>
      <c r="Q119" t="s">
        <v>387</v>
      </c>
      <c r="R119" s="3">
        <v>0.12638888888888888</v>
      </c>
      <c r="S119" t="s">
        <v>118</v>
      </c>
      <c r="T119">
        <v>34733</v>
      </c>
      <c r="U119" t="s">
        <v>134</v>
      </c>
    </row>
    <row r="120" spans="1:21" hidden="1" x14ac:dyDescent="0.25">
      <c r="A120">
        <v>118</v>
      </c>
      <c r="B120">
        <v>118</v>
      </c>
      <c r="C120" t="s">
        <v>466</v>
      </c>
      <c r="D120" t="s">
        <v>112</v>
      </c>
      <c r="E120" t="s">
        <v>63</v>
      </c>
      <c r="F120" t="s">
        <v>130</v>
      </c>
      <c r="G120" t="s">
        <v>86</v>
      </c>
      <c r="H120" t="s">
        <v>121</v>
      </c>
      <c r="I120">
        <v>4</v>
      </c>
      <c r="J120">
        <v>2</v>
      </c>
      <c r="L120" s="4" t="s">
        <v>467</v>
      </c>
      <c r="M120">
        <v>4</v>
      </c>
      <c r="N120">
        <v>20</v>
      </c>
      <c r="O120" t="s">
        <v>116</v>
      </c>
      <c r="P120" t="s">
        <v>198</v>
      </c>
      <c r="Q120" t="s">
        <v>132</v>
      </c>
      <c r="R120" s="3">
        <v>0.11388888888888889</v>
      </c>
      <c r="S120" t="s">
        <v>133</v>
      </c>
      <c r="T120">
        <v>45762</v>
      </c>
      <c r="U120" t="s">
        <v>125</v>
      </c>
    </row>
    <row r="121" spans="1:21" hidden="1" x14ac:dyDescent="0.25">
      <c r="A121">
        <v>119</v>
      </c>
      <c r="B121">
        <v>119</v>
      </c>
      <c r="C121" t="s">
        <v>468</v>
      </c>
      <c r="D121" t="s">
        <v>112</v>
      </c>
      <c r="E121" t="s">
        <v>63</v>
      </c>
      <c r="F121" t="s">
        <v>130</v>
      </c>
      <c r="G121" t="s">
        <v>86</v>
      </c>
      <c r="H121" t="s">
        <v>113</v>
      </c>
      <c r="I121">
        <v>3</v>
      </c>
      <c r="J121">
        <v>11</v>
      </c>
      <c r="L121" s="4" t="s">
        <v>469</v>
      </c>
      <c r="M121">
        <v>4</v>
      </c>
      <c r="N121">
        <v>21</v>
      </c>
      <c r="O121" t="s">
        <v>276</v>
      </c>
      <c r="P121" t="s">
        <v>122</v>
      </c>
      <c r="R121" s="3">
        <v>0.11180555555555556</v>
      </c>
      <c r="S121" t="s">
        <v>133</v>
      </c>
      <c r="T121">
        <v>45570</v>
      </c>
      <c r="U121" t="s">
        <v>119</v>
      </c>
    </row>
    <row r="122" spans="1:21" x14ac:dyDescent="0.25">
      <c r="A122">
        <v>120</v>
      </c>
      <c r="B122">
        <v>120</v>
      </c>
      <c r="C122" t="s">
        <v>470</v>
      </c>
      <c r="D122" t="s">
        <v>112</v>
      </c>
      <c r="E122" t="s">
        <v>63</v>
      </c>
      <c r="G122" t="s">
        <v>72</v>
      </c>
      <c r="H122" t="s">
        <v>121</v>
      </c>
      <c r="I122">
        <v>6</v>
      </c>
      <c r="J122">
        <v>4</v>
      </c>
      <c r="L122" s="4" t="s">
        <v>471</v>
      </c>
      <c r="M122">
        <v>3</v>
      </c>
      <c r="N122">
        <v>20</v>
      </c>
      <c r="O122" t="s">
        <v>431</v>
      </c>
      <c r="P122" t="s">
        <v>472</v>
      </c>
      <c r="Q122" t="s">
        <v>132</v>
      </c>
      <c r="R122" s="3">
        <v>9.930555555555555E-2</v>
      </c>
      <c r="S122" t="s">
        <v>133</v>
      </c>
      <c r="T122">
        <v>23888</v>
      </c>
      <c r="U122" t="s">
        <v>125</v>
      </c>
    </row>
    <row r="123" spans="1:21" x14ac:dyDescent="0.25">
      <c r="A123">
        <v>121</v>
      </c>
      <c r="B123">
        <v>121</v>
      </c>
      <c r="C123" t="s">
        <v>473</v>
      </c>
      <c r="D123" t="s">
        <v>112</v>
      </c>
      <c r="E123" t="s">
        <v>63</v>
      </c>
      <c r="G123" t="s">
        <v>72</v>
      </c>
      <c r="H123" t="s">
        <v>113</v>
      </c>
      <c r="I123">
        <v>1</v>
      </c>
      <c r="J123">
        <v>2</v>
      </c>
      <c r="L123" s="4" t="s">
        <v>474</v>
      </c>
      <c r="M123">
        <v>4</v>
      </c>
      <c r="N123">
        <v>21</v>
      </c>
      <c r="O123" t="s">
        <v>475</v>
      </c>
      <c r="P123" t="s">
        <v>380</v>
      </c>
      <c r="Q123" t="s">
        <v>476</v>
      </c>
      <c r="R123" s="3">
        <v>0.11527777777777777</v>
      </c>
      <c r="S123" t="s">
        <v>133</v>
      </c>
      <c r="T123">
        <v>20374</v>
      </c>
      <c r="U123" t="s">
        <v>119</v>
      </c>
    </row>
    <row r="124" spans="1:21" x14ac:dyDescent="0.25">
      <c r="A124">
        <v>122</v>
      </c>
      <c r="B124">
        <v>122</v>
      </c>
      <c r="C124" t="s">
        <v>477</v>
      </c>
      <c r="D124" t="s">
        <v>112</v>
      </c>
      <c r="E124" t="s">
        <v>63</v>
      </c>
      <c r="G124" t="s">
        <v>72</v>
      </c>
      <c r="H124" t="s">
        <v>121</v>
      </c>
      <c r="I124">
        <v>3</v>
      </c>
      <c r="J124">
        <v>1</v>
      </c>
      <c r="L124" s="4" t="s">
        <v>478</v>
      </c>
      <c r="M124">
        <v>4</v>
      </c>
      <c r="N124">
        <v>21</v>
      </c>
      <c r="O124" t="s">
        <v>128</v>
      </c>
      <c r="P124" t="s">
        <v>479</v>
      </c>
      <c r="Q124" t="s">
        <v>132</v>
      </c>
      <c r="R124" s="3">
        <v>0.13125000000000001</v>
      </c>
      <c r="S124" t="s">
        <v>133</v>
      </c>
      <c r="T124">
        <v>19508</v>
      </c>
      <c r="U124" t="s">
        <v>125</v>
      </c>
    </row>
    <row r="125" spans="1:21" x14ac:dyDescent="0.25">
      <c r="A125">
        <v>123</v>
      </c>
      <c r="B125">
        <v>123</v>
      </c>
      <c r="C125" t="s">
        <v>480</v>
      </c>
      <c r="D125" t="s">
        <v>112</v>
      </c>
      <c r="E125" t="s">
        <v>63</v>
      </c>
      <c r="G125" t="s">
        <v>86</v>
      </c>
      <c r="H125" t="s">
        <v>121</v>
      </c>
      <c r="I125">
        <v>8</v>
      </c>
      <c r="J125">
        <v>4</v>
      </c>
      <c r="L125" s="4" t="s">
        <v>481</v>
      </c>
      <c r="M125">
        <v>3</v>
      </c>
      <c r="N125">
        <v>20</v>
      </c>
      <c r="O125" t="s">
        <v>141</v>
      </c>
      <c r="P125" t="s">
        <v>271</v>
      </c>
      <c r="R125" s="3">
        <v>0.12291666666666667</v>
      </c>
      <c r="S125" t="s">
        <v>133</v>
      </c>
      <c r="T125">
        <v>37841</v>
      </c>
      <c r="U125" t="s">
        <v>144</v>
      </c>
    </row>
    <row r="126" spans="1:21" x14ac:dyDescent="0.25">
      <c r="A126">
        <v>124</v>
      </c>
      <c r="B126">
        <v>124</v>
      </c>
      <c r="C126" t="s">
        <v>482</v>
      </c>
      <c r="D126" t="s">
        <v>112</v>
      </c>
      <c r="E126" t="s">
        <v>63</v>
      </c>
      <c r="G126" t="s">
        <v>86</v>
      </c>
      <c r="H126" t="s">
        <v>113</v>
      </c>
      <c r="I126">
        <v>0</v>
      </c>
      <c r="J126">
        <v>5</v>
      </c>
      <c r="L126" s="4" t="s">
        <v>483</v>
      </c>
      <c r="M126">
        <v>3</v>
      </c>
      <c r="N126">
        <v>21</v>
      </c>
      <c r="O126" t="s">
        <v>276</v>
      </c>
      <c r="P126" t="s">
        <v>122</v>
      </c>
      <c r="R126" s="3">
        <v>0.11875000000000001</v>
      </c>
      <c r="S126" t="s">
        <v>133</v>
      </c>
      <c r="T126">
        <v>44685</v>
      </c>
      <c r="U126" t="s">
        <v>119</v>
      </c>
    </row>
    <row r="127" spans="1:21" x14ac:dyDescent="0.25">
      <c r="A127">
        <v>125</v>
      </c>
      <c r="B127">
        <v>125</v>
      </c>
      <c r="C127" t="s">
        <v>484</v>
      </c>
      <c r="D127" t="s">
        <v>112</v>
      </c>
      <c r="E127" t="s">
        <v>63</v>
      </c>
      <c r="G127" t="s">
        <v>86</v>
      </c>
      <c r="H127" t="s">
        <v>121</v>
      </c>
      <c r="I127">
        <v>5</v>
      </c>
      <c r="J127">
        <v>4</v>
      </c>
      <c r="K127">
        <v>10</v>
      </c>
      <c r="L127" s="4" t="s">
        <v>485</v>
      </c>
      <c r="M127">
        <v>3</v>
      </c>
      <c r="N127">
        <v>20</v>
      </c>
      <c r="O127" t="s">
        <v>124</v>
      </c>
      <c r="P127" t="s">
        <v>486</v>
      </c>
      <c r="R127" s="3">
        <v>0.13402777777777777</v>
      </c>
      <c r="S127" t="s">
        <v>118</v>
      </c>
      <c r="T127">
        <v>41727</v>
      </c>
      <c r="U127" t="s">
        <v>125</v>
      </c>
    </row>
    <row r="128" spans="1:21" x14ac:dyDescent="0.25">
      <c r="A128">
        <v>126</v>
      </c>
      <c r="B128">
        <v>126</v>
      </c>
      <c r="C128" t="s">
        <v>487</v>
      </c>
      <c r="D128" t="s">
        <v>112</v>
      </c>
      <c r="E128" t="s">
        <v>63</v>
      </c>
      <c r="G128" t="s">
        <v>66</v>
      </c>
      <c r="H128" t="s">
        <v>121</v>
      </c>
      <c r="I128">
        <v>4</v>
      </c>
      <c r="J128">
        <v>1</v>
      </c>
      <c r="L128" s="4" t="s">
        <v>488</v>
      </c>
      <c r="M128">
        <v>3</v>
      </c>
      <c r="N128">
        <v>20</v>
      </c>
      <c r="O128" t="s">
        <v>380</v>
      </c>
      <c r="P128" t="s">
        <v>286</v>
      </c>
      <c r="Q128" t="s">
        <v>132</v>
      </c>
      <c r="R128" s="3">
        <v>0.10277777777777779</v>
      </c>
      <c r="S128" t="s">
        <v>133</v>
      </c>
      <c r="T128">
        <v>19377</v>
      </c>
      <c r="U128" t="s">
        <v>144</v>
      </c>
    </row>
    <row r="129" spans="1:21" x14ac:dyDescent="0.25">
      <c r="A129">
        <v>127</v>
      </c>
      <c r="B129">
        <v>127</v>
      </c>
      <c r="C129" t="s">
        <v>489</v>
      </c>
      <c r="D129" t="s">
        <v>112</v>
      </c>
      <c r="E129" t="s">
        <v>63</v>
      </c>
      <c r="G129" t="s">
        <v>66</v>
      </c>
      <c r="H129" t="s">
        <v>113</v>
      </c>
      <c r="I129">
        <v>0</v>
      </c>
      <c r="J129">
        <v>2</v>
      </c>
      <c r="L129" s="4" t="s">
        <v>490</v>
      </c>
      <c r="M129">
        <v>3</v>
      </c>
      <c r="N129">
        <v>21</v>
      </c>
      <c r="O129" t="s">
        <v>491</v>
      </c>
      <c r="P129" t="s">
        <v>128</v>
      </c>
      <c r="Q129" t="s">
        <v>287</v>
      </c>
      <c r="R129" s="3">
        <v>0.11388888888888889</v>
      </c>
      <c r="S129" t="s">
        <v>133</v>
      </c>
      <c r="T129">
        <v>17029</v>
      </c>
      <c r="U129" t="s">
        <v>119</v>
      </c>
    </row>
    <row r="130" spans="1:21" x14ac:dyDescent="0.25">
      <c r="A130">
        <v>128</v>
      </c>
      <c r="B130">
        <v>128</v>
      </c>
      <c r="C130" t="s">
        <v>492</v>
      </c>
      <c r="D130" t="s">
        <v>112</v>
      </c>
      <c r="E130" t="s">
        <v>63</v>
      </c>
      <c r="G130" t="s">
        <v>66</v>
      </c>
      <c r="H130" t="s">
        <v>113</v>
      </c>
      <c r="I130">
        <v>2</v>
      </c>
      <c r="J130">
        <v>4</v>
      </c>
      <c r="L130" s="4" t="s">
        <v>493</v>
      </c>
      <c r="M130">
        <v>3</v>
      </c>
      <c r="N130">
        <v>21</v>
      </c>
      <c r="O130" t="s">
        <v>127</v>
      </c>
      <c r="P130" t="s">
        <v>116</v>
      </c>
      <c r="Q130" t="s">
        <v>287</v>
      </c>
      <c r="R130" s="3">
        <v>0.1013888888888889</v>
      </c>
      <c r="S130" t="s">
        <v>133</v>
      </c>
      <c r="T130">
        <v>17881</v>
      </c>
      <c r="U130" t="s">
        <v>134</v>
      </c>
    </row>
    <row r="131" spans="1:21" x14ac:dyDescent="0.25">
      <c r="A131">
        <v>129</v>
      </c>
      <c r="B131">
        <v>129</v>
      </c>
      <c r="C131" t="s">
        <v>494</v>
      </c>
      <c r="D131" t="s">
        <v>112</v>
      </c>
      <c r="E131" t="s">
        <v>63</v>
      </c>
      <c r="G131" t="s">
        <v>66</v>
      </c>
      <c r="H131" t="s">
        <v>113</v>
      </c>
      <c r="I131">
        <v>1</v>
      </c>
      <c r="J131">
        <v>8</v>
      </c>
      <c r="L131" s="4" t="s">
        <v>495</v>
      </c>
      <c r="M131">
        <v>3</v>
      </c>
      <c r="N131">
        <v>21.5</v>
      </c>
      <c r="O131" t="s">
        <v>496</v>
      </c>
      <c r="P131" t="s">
        <v>122</v>
      </c>
      <c r="R131" s="3">
        <v>0.13402777777777777</v>
      </c>
      <c r="S131" t="s">
        <v>133</v>
      </c>
      <c r="T131">
        <v>17666</v>
      </c>
      <c r="U131" t="s">
        <v>139</v>
      </c>
    </row>
    <row r="132" spans="1:21" hidden="1" x14ac:dyDescent="0.25">
      <c r="A132">
        <v>130</v>
      </c>
      <c r="B132">
        <v>130</v>
      </c>
      <c r="C132" t="s">
        <v>497</v>
      </c>
      <c r="D132" t="s">
        <v>112</v>
      </c>
      <c r="E132" t="s">
        <v>63</v>
      </c>
      <c r="F132" t="s">
        <v>130</v>
      </c>
      <c r="G132" t="s">
        <v>72</v>
      </c>
      <c r="H132" t="s">
        <v>113</v>
      </c>
      <c r="I132">
        <v>3</v>
      </c>
      <c r="J132">
        <v>4</v>
      </c>
      <c r="L132" s="4" t="s">
        <v>498</v>
      </c>
      <c r="M132">
        <v>3</v>
      </c>
      <c r="N132">
        <v>21.5</v>
      </c>
      <c r="O132" t="s">
        <v>476</v>
      </c>
      <c r="P132" t="s">
        <v>344</v>
      </c>
      <c r="R132" s="3">
        <v>0.13541666666666666</v>
      </c>
      <c r="S132" t="s">
        <v>133</v>
      </c>
      <c r="T132">
        <v>35089</v>
      </c>
      <c r="U132" t="s">
        <v>254</v>
      </c>
    </row>
    <row r="133" spans="1:21" hidden="1" x14ac:dyDescent="0.25">
      <c r="A133">
        <v>131</v>
      </c>
      <c r="B133">
        <v>131</v>
      </c>
      <c r="C133" t="s">
        <v>499</v>
      </c>
      <c r="D133" t="s">
        <v>112</v>
      </c>
      <c r="E133" t="s">
        <v>63</v>
      </c>
      <c r="F133" t="s">
        <v>130</v>
      </c>
      <c r="G133" t="s">
        <v>72</v>
      </c>
      <c r="H133" t="s">
        <v>113</v>
      </c>
      <c r="I133">
        <v>3</v>
      </c>
      <c r="J133">
        <v>6</v>
      </c>
      <c r="L133" s="4" t="s">
        <v>500</v>
      </c>
      <c r="M133">
        <v>4</v>
      </c>
      <c r="N133">
        <v>22</v>
      </c>
      <c r="O133" t="s">
        <v>472</v>
      </c>
      <c r="P133" t="s">
        <v>380</v>
      </c>
      <c r="Q133" t="s">
        <v>476</v>
      </c>
      <c r="R133" s="3">
        <v>0.11597222222222221</v>
      </c>
      <c r="S133" t="s">
        <v>133</v>
      </c>
      <c r="T133">
        <v>30423</v>
      </c>
      <c r="U133" t="s">
        <v>258</v>
      </c>
    </row>
    <row r="134" spans="1:21" hidden="1" x14ac:dyDescent="0.25">
      <c r="A134">
        <v>132</v>
      </c>
      <c r="B134">
        <v>132</v>
      </c>
      <c r="C134" t="s">
        <v>501</v>
      </c>
      <c r="D134" t="s">
        <v>112</v>
      </c>
      <c r="E134" t="s">
        <v>63</v>
      </c>
      <c r="F134" t="s">
        <v>130</v>
      </c>
      <c r="G134" t="s">
        <v>72</v>
      </c>
      <c r="H134" t="s">
        <v>113</v>
      </c>
      <c r="I134">
        <v>4</v>
      </c>
      <c r="J134">
        <v>5</v>
      </c>
      <c r="K134">
        <v>14</v>
      </c>
      <c r="L134" s="4" t="s">
        <v>502</v>
      </c>
      <c r="M134">
        <v>4</v>
      </c>
      <c r="N134">
        <v>22.5</v>
      </c>
      <c r="O134" t="s">
        <v>503</v>
      </c>
      <c r="P134" t="s">
        <v>344</v>
      </c>
      <c r="R134" s="3">
        <v>0.21875</v>
      </c>
      <c r="S134" t="s">
        <v>118</v>
      </c>
      <c r="T134">
        <v>28415</v>
      </c>
      <c r="U134" t="s">
        <v>433</v>
      </c>
    </row>
    <row r="135" spans="1:21" hidden="1" x14ac:dyDescent="0.25">
      <c r="A135">
        <v>133</v>
      </c>
      <c r="B135">
        <v>133</v>
      </c>
      <c r="C135" t="s">
        <v>504</v>
      </c>
      <c r="D135" t="s">
        <v>112</v>
      </c>
      <c r="E135" t="s">
        <v>63</v>
      </c>
      <c r="F135" t="s">
        <v>130</v>
      </c>
      <c r="G135" t="s">
        <v>67</v>
      </c>
      <c r="H135" t="s">
        <v>121</v>
      </c>
      <c r="I135">
        <v>9</v>
      </c>
      <c r="J135">
        <v>2</v>
      </c>
      <c r="L135" s="4" t="s">
        <v>505</v>
      </c>
      <c r="M135">
        <v>4</v>
      </c>
      <c r="N135">
        <v>23</v>
      </c>
      <c r="O135" t="s">
        <v>116</v>
      </c>
      <c r="P135" t="s">
        <v>441</v>
      </c>
      <c r="R135" s="3">
        <v>0.11388888888888889</v>
      </c>
      <c r="S135" t="s">
        <v>133</v>
      </c>
      <c r="T135">
        <v>16674</v>
      </c>
      <c r="U135" t="s">
        <v>125</v>
      </c>
    </row>
    <row r="136" spans="1:21" hidden="1" x14ac:dyDescent="0.25">
      <c r="A136">
        <v>134</v>
      </c>
      <c r="B136">
        <v>134</v>
      </c>
      <c r="C136" t="s">
        <v>506</v>
      </c>
      <c r="D136" t="s">
        <v>112</v>
      </c>
      <c r="E136" t="s">
        <v>63</v>
      </c>
      <c r="F136" t="s">
        <v>130</v>
      </c>
      <c r="G136" t="s">
        <v>67</v>
      </c>
      <c r="H136" t="s">
        <v>113</v>
      </c>
      <c r="I136">
        <v>1</v>
      </c>
      <c r="J136">
        <v>3</v>
      </c>
      <c r="L136" s="4" t="s">
        <v>507</v>
      </c>
      <c r="M136">
        <v>4</v>
      </c>
      <c r="N136">
        <v>24</v>
      </c>
      <c r="O136" t="s">
        <v>115</v>
      </c>
      <c r="P136" t="s">
        <v>122</v>
      </c>
      <c r="Q136" t="s">
        <v>117</v>
      </c>
      <c r="R136" s="3">
        <v>9.1666666666666674E-2</v>
      </c>
      <c r="S136" t="s">
        <v>133</v>
      </c>
      <c r="T136">
        <v>20687</v>
      </c>
      <c r="U136" t="s">
        <v>119</v>
      </c>
    </row>
    <row r="137" spans="1:21" hidden="1" x14ac:dyDescent="0.25">
      <c r="A137">
        <v>135</v>
      </c>
      <c r="B137">
        <v>135</v>
      </c>
      <c r="C137" t="s">
        <v>508</v>
      </c>
      <c r="D137" t="s">
        <v>112</v>
      </c>
      <c r="E137" t="s">
        <v>63</v>
      </c>
      <c r="F137" t="s">
        <v>130</v>
      </c>
      <c r="G137" t="s">
        <v>67</v>
      </c>
      <c r="H137" t="s">
        <v>113</v>
      </c>
      <c r="I137">
        <v>2</v>
      </c>
      <c r="J137">
        <v>5</v>
      </c>
      <c r="L137" s="4" t="s">
        <v>509</v>
      </c>
      <c r="M137">
        <v>4</v>
      </c>
      <c r="N137">
        <v>25</v>
      </c>
      <c r="O137" t="s">
        <v>127</v>
      </c>
      <c r="P137" t="s">
        <v>431</v>
      </c>
      <c r="Q137" t="s">
        <v>117</v>
      </c>
      <c r="R137" s="3">
        <v>0.11666666666666665</v>
      </c>
      <c r="S137" t="s">
        <v>133</v>
      </c>
      <c r="T137">
        <v>18794</v>
      </c>
      <c r="U137" t="s">
        <v>134</v>
      </c>
    </row>
    <row r="138" spans="1:21" x14ac:dyDescent="0.25">
      <c r="A138">
        <v>136</v>
      </c>
      <c r="B138">
        <v>136</v>
      </c>
      <c r="C138" t="s">
        <v>510</v>
      </c>
      <c r="D138" t="s">
        <v>112</v>
      </c>
      <c r="E138" t="s">
        <v>63</v>
      </c>
      <c r="G138" t="s">
        <v>83</v>
      </c>
      <c r="H138" t="s">
        <v>113</v>
      </c>
      <c r="I138">
        <v>3</v>
      </c>
      <c r="J138">
        <v>7</v>
      </c>
      <c r="L138" s="4" t="s">
        <v>511</v>
      </c>
      <c r="M138">
        <v>4</v>
      </c>
      <c r="N138">
        <v>26</v>
      </c>
      <c r="O138" t="s">
        <v>143</v>
      </c>
      <c r="P138" t="s">
        <v>380</v>
      </c>
      <c r="R138" s="3">
        <v>0.11180555555555556</v>
      </c>
      <c r="S138" t="s">
        <v>133</v>
      </c>
      <c r="T138">
        <v>27907</v>
      </c>
      <c r="U138" t="s">
        <v>139</v>
      </c>
    </row>
    <row r="139" spans="1:21" x14ac:dyDescent="0.25">
      <c r="A139">
        <v>137</v>
      </c>
      <c r="B139">
        <v>137</v>
      </c>
      <c r="C139" t="s">
        <v>512</v>
      </c>
      <c r="D139" t="s">
        <v>112</v>
      </c>
      <c r="E139" t="s">
        <v>63</v>
      </c>
      <c r="G139" t="s">
        <v>83</v>
      </c>
      <c r="H139" t="s">
        <v>121</v>
      </c>
      <c r="I139">
        <v>8</v>
      </c>
      <c r="J139">
        <v>7</v>
      </c>
      <c r="L139" s="4" t="s">
        <v>513</v>
      </c>
      <c r="M139">
        <v>4</v>
      </c>
      <c r="N139">
        <v>25</v>
      </c>
      <c r="O139" t="s">
        <v>124</v>
      </c>
      <c r="P139" t="s">
        <v>438</v>
      </c>
      <c r="R139" s="3">
        <v>0.13819444444444443</v>
      </c>
      <c r="S139" t="s">
        <v>133</v>
      </c>
      <c r="T139">
        <v>34821</v>
      </c>
      <c r="U139" t="s">
        <v>125</v>
      </c>
    </row>
    <row r="140" spans="1:21" x14ac:dyDescent="0.25">
      <c r="A140">
        <v>138</v>
      </c>
      <c r="B140">
        <v>138</v>
      </c>
      <c r="C140" t="s">
        <v>514</v>
      </c>
      <c r="D140" t="s">
        <v>112</v>
      </c>
      <c r="E140" t="s">
        <v>63</v>
      </c>
      <c r="G140" t="s">
        <v>83</v>
      </c>
      <c r="H140" t="s">
        <v>113</v>
      </c>
      <c r="I140">
        <v>3</v>
      </c>
      <c r="J140">
        <v>6</v>
      </c>
      <c r="L140" s="4" t="s">
        <v>515</v>
      </c>
      <c r="M140">
        <v>4</v>
      </c>
      <c r="N140">
        <v>25</v>
      </c>
      <c r="O140" t="s">
        <v>181</v>
      </c>
      <c r="P140" t="s">
        <v>116</v>
      </c>
      <c r="Q140" t="s">
        <v>438</v>
      </c>
      <c r="R140" s="3">
        <v>0.13333333333333333</v>
      </c>
      <c r="S140" t="s">
        <v>118</v>
      </c>
      <c r="T140">
        <v>29679</v>
      </c>
      <c r="U140" t="s">
        <v>119</v>
      </c>
    </row>
    <row r="141" spans="1:21" x14ac:dyDescent="0.25">
      <c r="A141">
        <v>139</v>
      </c>
      <c r="B141">
        <v>139</v>
      </c>
      <c r="C141" t="s">
        <v>516</v>
      </c>
      <c r="D141" t="s">
        <v>112</v>
      </c>
      <c r="E141" t="s">
        <v>63</v>
      </c>
      <c r="G141" t="s">
        <v>80</v>
      </c>
      <c r="H141" t="s">
        <v>121</v>
      </c>
      <c r="I141">
        <v>7</v>
      </c>
      <c r="J141">
        <v>2</v>
      </c>
      <c r="L141" s="4" t="s">
        <v>517</v>
      </c>
      <c r="M141">
        <v>4</v>
      </c>
      <c r="N141">
        <v>25</v>
      </c>
      <c r="O141" t="s">
        <v>122</v>
      </c>
      <c r="P141" t="s">
        <v>415</v>
      </c>
      <c r="R141" s="3">
        <v>0.125</v>
      </c>
      <c r="S141" t="s">
        <v>118</v>
      </c>
      <c r="T141">
        <v>25518</v>
      </c>
      <c r="U141" t="s">
        <v>125</v>
      </c>
    </row>
    <row r="142" spans="1:21" x14ac:dyDescent="0.25">
      <c r="A142">
        <v>140</v>
      </c>
      <c r="B142">
        <v>140</v>
      </c>
      <c r="C142" t="s">
        <v>518</v>
      </c>
      <c r="D142" t="s">
        <v>112</v>
      </c>
      <c r="E142" t="s">
        <v>63</v>
      </c>
      <c r="G142" t="s">
        <v>80</v>
      </c>
      <c r="H142" t="s">
        <v>113</v>
      </c>
      <c r="I142">
        <v>3</v>
      </c>
      <c r="J142">
        <v>7</v>
      </c>
      <c r="L142" s="4" t="s">
        <v>519</v>
      </c>
      <c r="M142">
        <v>4</v>
      </c>
      <c r="N142">
        <v>26</v>
      </c>
      <c r="O142" t="s">
        <v>520</v>
      </c>
      <c r="P142" t="s">
        <v>148</v>
      </c>
      <c r="R142" s="3">
        <v>0.14930555555555555</v>
      </c>
      <c r="S142" t="s">
        <v>133</v>
      </c>
      <c r="T142">
        <v>29092</v>
      </c>
      <c r="U142" t="s">
        <v>119</v>
      </c>
    </row>
    <row r="143" spans="1:21" x14ac:dyDescent="0.25">
      <c r="A143">
        <v>141</v>
      </c>
      <c r="B143">
        <v>141</v>
      </c>
      <c r="C143" t="s">
        <v>521</v>
      </c>
      <c r="D143" t="s">
        <v>112</v>
      </c>
      <c r="E143" t="s">
        <v>63</v>
      </c>
      <c r="G143" t="s">
        <v>80</v>
      </c>
      <c r="H143" t="s">
        <v>113</v>
      </c>
      <c r="I143">
        <v>4</v>
      </c>
      <c r="J143">
        <v>7</v>
      </c>
      <c r="L143" s="4" t="s">
        <v>522</v>
      </c>
      <c r="M143">
        <v>4</v>
      </c>
      <c r="N143">
        <v>27.5</v>
      </c>
      <c r="O143" t="s">
        <v>523</v>
      </c>
      <c r="P143" t="s">
        <v>132</v>
      </c>
      <c r="Q143" t="s">
        <v>418</v>
      </c>
      <c r="R143" s="3">
        <v>0.14583333333333334</v>
      </c>
      <c r="S143" t="s">
        <v>118</v>
      </c>
      <c r="T143">
        <v>21638</v>
      </c>
      <c r="U143" t="s">
        <v>134</v>
      </c>
    </row>
    <row r="144" spans="1:21" x14ac:dyDescent="0.25">
      <c r="A144">
        <v>142</v>
      </c>
      <c r="B144">
        <v>142</v>
      </c>
      <c r="C144" t="s">
        <v>524</v>
      </c>
      <c r="D144" t="s">
        <v>112</v>
      </c>
      <c r="E144" t="s">
        <v>63</v>
      </c>
      <c r="G144" t="s">
        <v>77</v>
      </c>
      <c r="H144" t="s">
        <v>121</v>
      </c>
      <c r="I144">
        <v>4</v>
      </c>
      <c r="J144">
        <v>3</v>
      </c>
      <c r="K144">
        <v>11</v>
      </c>
      <c r="L144" s="4" t="s">
        <v>525</v>
      </c>
      <c r="M144">
        <v>4</v>
      </c>
      <c r="N144">
        <v>27.5</v>
      </c>
      <c r="O144" t="s">
        <v>340</v>
      </c>
      <c r="P144" t="s">
        <v>526</v>
      </c>
      <c r="R144" s="3">
        <v>0.14166666666666666</v>
      </c>
      <c r="S144" t="s">
        <v>133</v>
      </c>
      <c r="T144">
        <v>18307</v>
      </c>
      <c r="U144" t="s">
        <v>125</v>
      </c>
    </row>
    <row r="145" spans="1:21" x14ac:dyDescent="0.25">
      <c r="A145">
        <v>143</v>
      </c>
      <c r="B145">
        <v>143</v>
      </c>
      <c r="C145" t="s">
        <v>527</v>
      </c>
      <c r="D145" t="s">
        <v>112</v>
      </c>
      <c r="E145" t="s">
        <v>63</v>
      </c>
      <c r="G145" t="s">
        <v>77</v>
      </c>
      <c r="H145" t="s">
        <v>113</v>
      </c>
      <c r="I145">
        <v>3</v>
      </c>
      <c r="J145">
        <v>9</v>
      </c>
      <c r="L145" s="4" t="s">
        <v>528</v>
      </c>
      <c r="M145">
        <v>4</v>
      </c>
      <c r="N145">
        <v>28.5</v>
      </c>
      <c r="O145" t="s">
        <v>148</v>
      </c>
      <c r="P145" t="s">
        <v>122</v>
      </c>
      <c r="R145" s="3">
        <v>0.13125000000000001</v>
      </c>
      <c r="S145" t="s">
        <v>133</v>
      </c>
      <c r="T145">
        <v>30935</v>
      </c>
      <c r="U145" t="s">
        <v>119</v>
      </c>
    </row>
    <row r="146" spans="1:21" x14ac:dyDescent="0.25">
      <c r="A146">
        <v>144</v>
      </c>
      <c r="B146">
        <v>144</v>
      </c>
      <c r="C146" t="s">
        <v>529</v>
      </c>
      <c r="D146" t="s">
        <v>112</v>
      </c>
      <c r="E146" t="s">
        <v>63</v>
      </c>
      <c r="G146" t="s">
        <v>77</v>
      </c>
      <c r="H146" t="s">
        <v>121</v>
      </c>
      <c r="I146">
        <v>8</v>
      </c>
      <c r="J146">
        <v>2</v>
      </c>
      <c r="L146" s="4" t="s">
        <v>530</v>
      </c>
      <c r="M146">
        <v>4</v>
      </c>
      <c r="N146">
        <v>27.5</v>
      </c>
      <c r="O146" t="s">
        <v>147</v>
      </c>
      <c r="P146" t="s">
        <v>531</v>
      </c>
      <c r="R146" s="3">
        <v>0.11527777777777777</v>
      </c>
      <c r="S146" t="s">
        <v>118</v>
      </c>
      <c r="T146">
        <v>24238</v>
      </c>
      <c r="U146" t="s">
        <v>125</v>
      </c>
    </row>
    <row r="147" spans="1:21" hidden="1" x14ac:dyDescent="0.25">
      <c r="A147">
        <v>145</v>
      </c>
      <c r="B147">
        <v>145</v>
      </c>
      <c r="C147" t="s">
        <v>532</v>
      </c>
      <c r="D147" t="s">
        <v>112</v>
      </c>
      <c r="E147" t="s">
        <v>63</v>
      </c>
      <c r="F147" t="s">
        <v>130</v>
      </c>
      <c r="G147" t="s">
        <v>83</v>
      </c>
      <c r="H147" t="s">
        <v>121</v>
      </c>
      <c r="I147">
        <v>3</v>
      </c>
      <c r="J147">
        <v>2</v>
      </c>
      <c r="L147" s="4" t="s">
        <v>533</v>
      </c>
      <c r="M147">
        <v>4</v>
      </c>
      <c r="N147">
        <v>26.5</v>
      </c>
      <c r="O147" t="s">
        <v>141</v>
      </c>
      <c r="P147" t="s">
        <v>143</v>
      </c>
      <c r="Q147" t="s">
        <v>132</v>
      </c>
      <c r="R147" s="3">
        <v>0.11180555555555556</v>
      </c>
      <c r="S147" t="s">
        <v>133</v>
      </c>
      <c r="T147">
        <v>27015</v>
      </c>
      <c r="U147" t="s">
        <v>144</v>
      </c>
    </row>
    <row r="148" spans="1:21" hidden="1" x14ac:dyDescent="0.25">
      <c r="A148">
        <v>146</v>
      </c>
      <c r="B148">
        <v>146</v>
      </c>
      <c r="C148" t="s">
        <v>534</v>
      </c>
      <c r="D148" t="s">
        <v>112</v>
      </c>
      <c r="E148" t="s">
        <v>63</v>
      </c>
      <c r="F148" t="s">
        <v>130</v>
      </c>
      <c r="G148" t="s">
        <v>83</v>
      </c>
      <c r="H148" t="s">
        <v>121</v>
      </c>
      <c r="I148">
        <v>3</v>
      </c>
      <c r="J148">
        <v>2</v>
      </c>
      <c r="L148" s="4" t="s">
        <v>535</v>
      </c>
      <c r="M148">
        <v>4</v>
      </c>
      <c r="N148">
        <v>25.5</v>
      </c>
      <c r="O148" t="s">
        <v>294</v>
      </c>
      <c r="P148" t="s">
        <v>536</v>
      </c>
      <c r="Q148" t="s">
        <v>132</v>
      </c>
      <c r="R148" s="3">
        <v>0.13055555555555556</v>
      </c>
      <c r="S148" t="s">
        <v>133</v>
      </c>
      <c r="T148">
        <v>25359</v>
      </c>
      <c r="U148" t="s">
        <v>164</v>
      </c>
    </row>
    <row r="149" spans="1:21" hidden="1" x14ac:dyDescent="0.25">
      <c r="A149">
        <v>147</v>
      </c>
      <c r="B149">
        <v>147</v>
      </c>
      <c r="C149" t="s">
        <v>537</v>
      </c>
      <c r="D149" t="s">
        <v>112</v>
      </c>
      <c r="E149" t="s">
        <v>63</v>
      </c>
      <c r="F149" t="s">
        <v>130</v>
      </c>
      <c r="G149" t="s">
        <v>83</v>
      </c>
      <c r="H149" t="s">
        <v>121</v>
      </c>
      <c r="I149">
        <v>2</v>
      </c>
      <c r="J149">
        <v>0</v>
      </c>
      <c r="L149" s="4" t="s">
        <v>538</v>
      </c>
      <c r="M149">
        <v>3</v>
      </c>
      <c r="N149">
        <v>25.5</v>
      </c>
      <c r="O149" t="s">
        <v>539</v>
      </c>
      <c r="P149" t="s">
        <v>540</v>
      </c>
      <c r="Q149" t="s">
        <v>132</v>
      </c>
      <c r="R149" s="3">
        <v>0.12222222222222223</v>
      </c>
      <c r="S149" t="s">
        <v>133</v>
      </c>
      <c r="T149">
        <v>26885</v>
      </c>
      <c r="U149" t="s">
        <v>167</v>
      </c>
    </row>
    <row r="150" spans="1:21" hidden="1" x14ac:dyDescent="0.25">
      <c r="A150">
        <v>148</v>
      </c>
      <c r="B150">
        <v>148</v>
      </c>
      <c r="C150" t="s">
        <v>541</v>
      </c>
      <c r="D150" t="s">
        <v>112</v>
      </c>
      <c r="E150" t="s">
        <v>63</v>
      </c>
      <c r="F150" t="s">
        <v>130</v>
      </c>
      <c r="G150" t="s">
        <v>83</v>
      </c>
      <c r="H150" t="s">
        <v>121</v>
      </c>
      <c r="I150">
        <v>10</v>
      </c>
      <c r="J150">
        <v>1</v>
      </c>
      <c r="L150" s="4" t="s">
        <v>542</v>
      </c>
      <c r="M150">
        <v>3</v>
      </c>
      <c r="N150">
        <v>26</v>
      </c>
      <c r="O150" t="s">
        <v>543</v>
      </c>
      <c r="P150" t="s">
        <v>544</v>
      </c>
      <c r="R150" s="3">
        <v>0.14027777777777778</v>
      </c>
      <c r="S150" t="s">
        <v>118</v>
      </c>
      <c r="T150">
        <v>22205</v>
      </c>
      <c r="U150" t="s">
        <v>316</v>
      </c>
    </row>
    <row r="151" spans="1:21" x14ac:dyDescent="0.25">
      <c r="A151">
        <v>149</v>
      </c>
      <c r="B151">
        <v>149</v>
      </c>
      <c r="C151" t="s">
        <v>545</v>
      </c>
      <c r="D151" t="s">
        <v>112</v>
      </c>
      <c r="E151" t="s">
        <v>63</v>
      </c>
      <c r="G151" t="s">
        <v>76</v>
      </c>
      <c r="H151" t="s">
        <v>113</v>
      </c>
      <c r="I151">
        <v>0</v>
      </c>
      <c r="J151">
        <v>3</v>
      </c>
      <c r="L151" s="4" t="s">
        <v>546</v>
      </c>
      <c r="M151">
        <v>3</v>
      </c>
      <c r="N151">
        <v>26</v>
      </c>
      <c r="O151" t="s">
        <v>228</v>
      </c>
      <c r="P151" t="s">
        <v>122</v>
      </c>
      <c r="R151" s="3">
        <v>0.10972222222222222</v>
      </c>
      <c r="S151" t="s">
        <v>133</v>
      </c>
      <c r="T151">
        <v>22932</v>
      </c>
      <c r="U151" t="s">
        <v>119</v>
      </c>
    </row>
    <row r="152" spans="1:21" x14ac:dyDescent="0.25">
      <c r="A152">
        <v>150</v>
      </c>
      <c r="B152">
        <v>150</v>
      </c>
      <c r="C152" t="s">
        <v>547</v>
      </c>
      <c r="D152" t="s">
        <v>112</v>
      </c>
      <c r="E152" t="s">
        <v>63</v>
      </c>
      <c r="G152" t="s">
        <v>76</v>
      </c>
      <c r="H152" t="s">
        <v>113</v>
      </c>
      <c r="I152">
        <v>1</v>
      </c>
      <c r="J152">
        <v>4</v>
      </c>
      <c r="K152">
        <v>13</v>
      </c>
      <c r="L152" s="4" t="s">
        <v>548</v>
      </c>
      <c r="M152">
        <v>3</v>
      </c>
      <c r="N152">
        <v>27</v>
      </c>
      <c r="O152" t="s">
        <v>549</v>
      </c>
      <c r="P152" t="s">
        <v>344</v>
      </c>
      <c r="Q152" t="s">
        <v>138</v>
      </c>
      <c r="R152" s="3">
        <v>0.1388888888888889</v>
      </c>
      <c r="S152" t="s">
        <v>133</v>
      </c>
      <c r="T152">
        <v>33247</v>
      </c>
      <c r="U152" t="s">
        <v>134</v>
      </c>
    </row>
    <row r="153" spans="1:21" x14ac:dyDescent="0.25">
      <c r="A153">
        <v>151</v>
      </c>
      <c r="B153">
        <v>151</v>
      </c>
      <c r="C153" t="s">
        <v>550</v>
      </c>
      <c r="D153" t="s">
        <v>112</v>
      </c>
      <c r="E153" t="s">
        <v>63</v>
      </c>
      <c r="G153" t="s">
        <v>76</v>
      </c>
      <c r="H153" t="s">
        <v>121</v>
      </c>
      <c r="I153">
        <v>4</v>
      </c>
      <c r="J153">
        <v>3</v>
      </c>
      <c r="L153" s="4" t="s">
        <v>551</v>
      </c>
      <c r="M153">
        <v>3</v>
      </c>
      <c r="N153">
        <v>26</v>
      </c>
      <c r="O153" t="s">
        <v>431</v>
      </c>
      <c r="P153" t="s">
        <v>552</v>
      </c>
      <c r="Q153" t="s">
        <v>132</v>
      </c>
      <c r="R153" s="3">
        <v>0.10555555555555556</v>
      </c>
      <c r="S153" t="s">
        <v>118</v>
      </c>
      <c r="T153">
        <v>26581</v>
      </c>
      <c r="U153" t="s">
        <v>125</v>
      </c>
    </row>
    <row r="154" spans="1:21" hidden="1" x14ac:dyDescent="0.25">
      <c r="A154">
        <v>152</v>
      </c>
      <c r="B154">
        <v>152</v>
      </c>
      <c r="C154" t="s">
        <v>553</v>
      </c>
      <c r="D154" t="s">
        <v>112</v>
      </c>
      <c r="E154" t="s">
        <v>63</v>
      </c>
      <c r="F154" t="s">
        <v>130</v>
      </c>
      <c r="G154" t="s">
        <v>86</v>
      </c>
      <c r="H154" t="s">
        <v>121</v>
      </c>
      <c r="I154">
        <v>4</v>
      </c>
      <c r="J154">
        <v>3</v>
      </c>
      <c r="K154">
        <v>10</v>
      </c>
      <c r="L154" s="4" t="s">
        <v>554</v>
      </c>
      <c r="M154">
        <v>3</v>
      </c>
      <c r="N154">
        <v>23.5</v>
      </c>
      <c r="O154" t="s">
        <v>147</v>
      </c>
      <c r="P154" t="s">
        <v>555</v>
      </c>
      <c r="Q154" t="s">
        <v>132</v>
      </c>
      <c r="R154" s="3">
        <v>0.14444444444444446</v>
      </c>
      <c r="S154" t="s">
        <v>118</v>
      </c>
      <c r="T154">
        <v>44263</v>
      </c>
      <c r="U154" t="s">
        <v>144</v>
      </c>
    </row>
    <row r="155" spans="1:21" hidden="1" x14ac:dyDescent="0.25">
      <c r="A155">
        <v>153</v>
      </c>
      <c r="B155">
        <v>153</v>
      </c>
      <c r="C155" t="s">
        <v>556</v>
      </c>
      <c r="D155" t="s">
        <v>112</v>
      </c>
      <c r="E155" t="s">
        <v>63</v>
      </c>
      <c r="F155" t="s">
        <v>130</v>
      </c>
      <c r="G155" t="s">
        <v>86</v>
      </c>
      <c r="H155" t="s">
        <v>121</v>
      </c>
      <c r="I155">
        <v>3</v>
      </c>
      <c r="J155">
        <v>0</v>
      </c>
      <c r="L155" s="4" t="s">
        <v>557</v>
      </c>
      <c r="M155">
        <v>3</v>
      </c>
      <c r="N155">
        <v>23.5</v>
      </c>
      <c r="O155" t="s">
        <v>380</v>
      </c>
      <c r="P155" t="s">
        <v>156</v>
      </c>
      <c r="Q155" t="s">
        <v>132</v>
      </c>
      <c r="R155" s="3">
        <v>0.10694444444444444</v>
      </c>
      <c r="S155" t="s">
        <v>133</v>
      </c>
      <c r="T155">
        <v>45408</v>
      </c>
      <c r="U155" t="s">
        <v>164</v>
      </c>
    </row>
    <row r="156" spans="1:21" hidden="1" x14ac:dyDescent="0.25">
      <c r="A156">
        <v>154</v>
      </c>
      <c r="B156">
        <v>154</v>
      </c>
      <c r="C156" t="s">
        <v>558</v>
      </c>
      <c r="D156" t="s">
        <v>112</v>
      </c>
      <c r="E156" t="s">
        <v>63</v>
      </c>
      <c r="F156" t="s">
        <v>130</v>
      </c>
      <c r="G156" t="s">
        <v>86</v>
      </c>
      <c r="H156" t="s">
        <v>121</v>
      </c>
      <c r="I156">
        <v>7</v>
      </c>
      <c r="J156">
        <v>5</v>
      </c>
      <c r="L156" s="4" t="s">
        <v>559</v>
      </c>
      <c r="M156">
        <v>3</v>
      </c>
      <c r="N156">
        <v>22.5</v>
      </c>
      <c r="O156" t="s">
        <v>122</v>
      </c>
      <c r="P156" t="s">
        <v>201</v>
      </c>
      <c r="Q156" t="s">
        <v>148</v>
      </c>
      <c r="R156" s="3">
        <v>0.12291666666666667</v>
      </c>
      <c r="S156" t="s">
        <v>133</v>
      </c>
      <c r="T156">
        <v>45083</v>
      </c>
      <c r="U156" t="s">
        <v>167</v>
      </c>
    </row>
    <row r="157" spans="1:21" hidden="1" x14ac:dyDescent="0.25">
      <c r="A157">
        <v>155</v>
      </c>
      <c r="B157">
        <v>155</v>
      </c>
      <c r="C157" t="s">
        <v>560</v>
      </c>
      <c r="D157" t="s">
        <v>112</v>
      </c>
      <c r="E157" t="s">
        <v>63</v>
      </c>
      <c r="F157" t="s">
        <v>130</v>
      </c>
      <c r="G157" t="s">
        <v>86</v>
      </c>
      <c r="H157" t="s">
        <v>121</v>
      </c>
      <c r="I157">
        <v>6</v>
      </c>
      <c r="J157">
        <v>1</v>
      </c>
      <c r="L157" s="4" t="s">
        <v>561</v>
      </c>
      <c r="M157">
        <v>3</v>
      </c>
      <c r="N157">
        <v>21.5</v>
      </c>
      <c r="O157" t="s">
        <v>539</v>
      </c>
      <c r="P157" t="s">
        <v>276</v>
      </c>
      <c r="R157" s="3">
        <v>0.10625</v>
      </c>
      <c r="S157" t="s">
        <v>133</v>
      </c>
      <c r="T157">
        <v>45064</v>
      </c>
      <c r="U157" t="s">
        <v>316</v>
      </c>
    </row>
    <row r="158" spans="1:21" x14ac:dyDescent="0.25">
      <c r="A158">
        <v>156</v>
      </c>
      <c r="B158">
        <v>156</v>
      </c>
      <c r="C158" t="s">
        <v>562</v>
      </c>
      <c r="D158" t="s">
        <v>112</v>
      </c>
      <c r="E158" t="s">
        <v>63</v>
      </c>
      <c r="G158" t="s">
        <v>67</v>
      </c>
      <c r="H158" t="s">
        <v>113</v>
      </c>
      <c r="I158">
        <v>4</v>
      </c>
      <c r="J158">
        <v>7</v>
      </c>
      <c r="L158" s="4" t="s">
        <v>563</v>
      </c>
      <c r="M158">
        <v>3</v>
      </c>
      <c r="N158">
        <v>22</v>
      </c>
      <c r="O158" t="s">
        <v>127</v>
      </c>
      <c r="P158" t="s">
        <v>564</v>
      </c>
      <c r="Q158" t="s">
        <v>117</v>
      </c>
      <c r="R158" s="3">
        <v>0.13194444444444445</v>
      </c>
      <c r="S158" t="s">
        <v>133</v>
      </c>
      <c r="T158">
        <v>28817</v>
      </c>
      <c r="U158" t="s">
        <v>119</v>
      </c>
    </row>
    <row r="159" spans="1:21" x14ac:dyDescent="0.25">
      <c r="A159">
        <v>157</v>
      </c>
      <c r="B159">
        <v>157</v>
      </c>
      <c r="C159" t="s">
        <v>565</v>
      </c>
      <c r="D159" t="s">
        <v>112</v>
      </c>
      <c r="E159" t="s">
        <v>63</v>
      </c>
      <c r="G159" t="s">
        <v>67</v>
      </c>
      <c r="H159" t="s">
        <v>121</v>
      </c>
      <c r="I159">
        <v>4</v>
      </c>
      <c r="J159">
        <v>1</v>
      </c>
      <c r="L159" s="4" t="s">
        <v>566</v>
      </c>
      <c r="M159">
        <v>3</v>
      </c>
      <c r="N159">
        <v>20.5</v>
      </c>
      <c r="O159" t="s">
        <v>431</v>
      </c>
      <c r="P159" t="s">
        <v>446</v>
      </c>
      <c r="Q159" t="s">
        <v>132</v>
      </c>
      <c r="R159" s="3">
        <v>0.11597222222222221</v>
      </c>
      <c r="S159" t="s">
        <v>118</v>
      </c>
      <c r="T159">
        <v>33986</v>
      </c>
      <c r="U159" t="s">
        <v>125</v>
      </c>
    </row>
    <row r="160" spans="1:21" x14ac:dyDescent="0.25">
      <c r="A160">
        <v>158</v>
      </c>
      <c r="B160">
        <v>158</v>
      </c>
      <c r="C160" t="s">
        <v>567</v>
      </c>
      <c r="D160" t="s">
        <v>112</v>
      </c>
      <c r="E160" t="s">
        <v>63</v>
      </c>
      <c r="G160" t="s">
        <v>67</v>
      </c>
      <c r="H160" t="s">
        <v>121</v>
      </c>
      <c r="I160">
        <v>3</v>
      </c>
      <c r="J160">
        <v>0</v>
      </c>
      <c r="L160" s="4" t="s">
        <v>568</v>
      </c>
      <c r="M160">
        <v>3</v>
      </c>
      <c r="N160">
        <v>20.5</v>
      </c>
      <c r="O160" t="s">
        <v>380</v>
      </c>
      <c r="P160" t="s">
        <v>569</v>
      </c>
      <c r="Q160" t="s">
        <v>132</v>
      </c>
      <c r="R160" s="3">
        <v>0.1125</v>
      </c>
      <c r="S160" t="s">
        <v>118</v>
      </c>
      <c r="T160">
        <v>37638</v>
      </c>
      <c r="U160" t="s">
        <v>144</v>
      </c>
    </row>
    <row r="161" spans="1:21" hidden="1" x14ac:dyDescent="0.25">
      <c r="A161">
        <v>159</v>
      </c>
      <c r="B161">
        <v>159</v>
      </c>
      <c r="C161" t="s">
        <v>570</v>
      </c>
      <c r="D161" t="s">
        <v>112</v>
      </c>
      <c r="E161" t="s">
        <v>63</v>
      </c>
      <c r="F161" t="s">
        <v>130</v>
      </c>
      <c r="G161" t="s">
        <v>76</v>
      </c>
      <c r="H161" t="s">
        <v>121</v>
      </c>
      <c r="I161">
        <v>6</v>
      </c>
      <c r="J161">
        <v>4</v>
      </c>
      <c r="L161" s="4" t="s">
        <v>571</v>
      </c>
      <c r="M161">
        <v>3</v>
      </c>
      <c r="N161">
        <v>20.5</v>
      </c>
      <c r="O161" t="s">
        <v>572</v>
      </c>
      <c r="P161" t="s">
        <v>131</v>
      </c>
      <c r="Q161" t="s">
        <v>148</v>
      </c>
      <c r="R161" s="3">
        <v>0.13819444444444443</v>
      </c>
      <c r="S161" t="s">
        <v>133</v>
      </c>
      <c r="T161">
        <v>21058</v>
      </c>
      <c r="U161" t="s">
        <v>164</v>
      </c>
    </row>
    <row r="162" spans="1:21" hidden="1" x14ac:dyDescent="0.25">
      <c r="A162">
        <v>160</v>
      </c>
      <c r="B162">
        <v>160</v>
      </c>
      <c r="C162" t="s">
        <v>573</v>
      </c>
      <c r="D162" t="s">
        <v>112</v>
      </c>
      <c r="E162" t="s">
        <v>63</v>
      </c>
      <c r="F162" t="s">
        <v>130</v>
      </c>
      <c r="G162" t="s">
        <v>76</v>
      </c>
      <c r="H162" t="s">
        <v>113</v>
      </c>
      <c r="I162">
        <v>2</v>
      </c>
      <c r="J162">
        <v>3</v>
      </c>
      <c r="L162" s="4" t="s">
        <v>574</v>
      </c>
      <c r="M162">
        <v>3</v>
      </c>
      <c r="N162">
        <v>21.5</v>
      </c>
      <c r="O162" t="s">
        <v>228</v>
      </c>
      <c r="P162" t="s">
        <v>220</v>
      </c>
      <c r="R162" s="3">
        <v>0.10208333333333335</v>
      </c>
      <c r="S162" t="s">
        <v>133</v>
      </c>
      <c r="T162">
        <v>21902</v>
      </c>
      <c r="U162" t="s">
        <v>119</v>
      </c>
    </row>
    <row r="163" spans="1:21" hidden="1" x14ac:dyDescent="0.25">
      <c r="A163">
        <v>161</v>
      </c>
      <c r="B163">
        <v>161</v>
      </c>
      <c r="C163" t="s">
        <v>575</v>
      </c>
      <c r="D163" t="s">
        <v>112</v>
      </c>
      <c r="E163" t="s">
        <v>63</v>
      </c>
      <c r="F163" t="s">
        <v>130</v>
      </c>
      <c r="G163" t="s">
        <v>76</v>
      </c>
      <c r="H163" t="s">
        <v>121</v>
      </c>
      <c r="I163">
        <v>3</v>
      </c>
      <c r="J163">
        <v>1</v>
      </c>
      <c r="L163" s="4" t="s">
        <v>576</v>
      </c>
      <c r="M163">
        <v>3</v>
      </c>
      <c r="N163">
        <v>21.5</v>
      </c>
      <c r="O163" t="s">
        <v>564</v>
      </c>
      <c r="P163" t="s">
        <v>209</v>
      </c>
      <c r="Q163" t="s">
        <v>132</v>
      </c>
      <c r="R163" s="3">
        <v>9.9999999999999992E-2</v>
      </c>
      <c r="S163" t="s">
        <v>118</v>
      </c>
      <c r="T163">
        <v>34615</v>
      </c>
      <c r="U163" t="s">
        <v>125</v>
      </c>
    </row>
  </sheetData>
  <autoFilter ref="A2:U163">
    <filterColumn colId="5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211"/>
  <sheetViews>
    <sheetView workbookViewId="0"/>
  </sheetViews>
  <sheetFormatPr defaultRowHeight="15" x14ac:dyDescent="0.25"/>
  <cols>
    <col min="1" max="1" width="9.5703125" bestFit="1" customWidth="1"/>
    <col min="2" max="2" width="4" customWidth="1"/>
    <col min="3" max="3" width="10" bestFit="1" customWidth="1"/>
    <col min="4" max="4" width="6" bestFit="1" customWidth="1"/>
    <col min="5" max="5" width="3" bestFit="1" customWidth="1"/>
    <col min="6" max="6" width="3.7109375" bestFit="1" customWidth="1"/>
    <col min="7" max="7" width="3" bestFit="1" customWidth="1"/>
    <col min="8" max="8" width="3.7109375" bestFit="1" customWidth="1"/>
    <col min="9" max="9" width="2" bestFit="1" customWidth="1"/>
    <col min="10" max="10" width="3" bestFit="1" customWidth="1"/>
    <col min="11" max="11" width="5" bestFit="1" customWidth="1"/>
    <col min="12" max="12" width="9.5703125" bestFit="1" customWidth="1"/>
    <col min="13" max="13" width="4" bestFit="1" customWidth="1"/>
    <col min="14" max="18" width="3" bestFit="1" customWidth="1"/>
    <col min="19" max="20" width="4" bestFit="1" customWidth="1"/>
    <col min="21" max="26" width="3" bestFit="1" customWidth="1"/>
    <col min="27" max="30" width="4" bestFit="1" customWidth="1"/>
    <col min="31" max="34" width="3" bestFit="1" customWidth="1"/>
  </cols>
  <sheetData>
    <row r="2" spans="1:6" x14ac:dyDescent="0.25">
      <c r="A2" t="s">
        <v>602</v>
      </c>
      <c r="B2">
        <v>0</v>
      </c>
    </row>
    <row r="3" spans="1:6" x14ac:dyDescent="0.25">
      <c r="A3" t="s">
        <v>603</v>
      </c>
      <c r="B3">
        <v>2</v>
      </c>
      <c r="C3">
        <f>B3-B2</f>
        <v>2</v>
      </c>
      <c r="D3">
        <v>0</v>
      </c>
      <c r="E3">
        <v>2</v>
      </c>
      <c r="F3">
        <f>C3-D3-E3</f>
        <v>0</v>
      </c>
    </row>
    <row r="4" spans="1:6" x14ac:dyDescent="0.25">
      <c r="A4" t="s">
        <v>604</v>
      </c>
      <c r="B4">
        <v>11</v>
      </c>
      <c r="C4">
        <f t="shared" ref="C4:C67" si="0">B4-B3</f>
        <v>9</v>
      </c>
      <c r="D4">
        <v>6</v>
      </c>
      <c r="E4">
        <v>3</v>
      </c>
      <c r="F4">
        <f t="shared" ref="F4:F67" si="1">C4-D4-E4</f>
        <v>0</v>
      </c>
    </row>
    <row r="5" spans="1:6" x14ac:dyDescent="0.25">
      <c r="A5" t="s">
        <v>605</v>
      </c>
      <c r="B5">
        <v>24</v>
      </c>
      <c r="C5">
        <f t="shared" si="0"/>
        <v>13</v>
      </c>
      <c r="D5">
        <v>2</v>
      </c>
      <c r="E5">
        <v>11</v>
      </c>
      <c r="F5">
        <f t="shared" si="1"/>
        <v>0</v>
      </c>
    </row>
    <row r="6" spans="1:6" x14ac:dyDescent="0.25">
      <c r="A6" t="s">
        <v>606</v>
      </c>
      <c r="B6">
        <v>35</v>
      </c>
      <c r="C6">
        <f t="shared" si="0"/>
        <v>11</v>
      </c>
      <c r="D6">
        <v>7</v>
      </c>
      <c r="E6">
        <v>4</v>
      </c>
      <c r="F6">
        <f t="shared" si="1"/>
        <v>0</v>
      </c>
    </row>
    <row r="7" spans="1:6" x14ac:dyDescent="0.25">
      <c r="A7" t="s">
        <v>607</v>
      </c>
      <c r="B7">
        <v>40</v>
      </c>
      <c r="C7">
        <f t="shared" si="0"/>
        <v>5</v>
      </c>
      <c r="D7">
        <v>2</v>
      </c>
      <c r="E7">
        <v>3</v>
      </c>
      <c r="F7">
        <f t="shared" si="1"/>
        <v>0</v>
      </c>
    </row>
    <row r="8" spans="1:6" x14ac:dyDescent="0.25">
      <c r="A8" t="s">
        <v>608</v>
      </c>
      <c r="B8">
        <v>44</v>
      </c>
      <c r="C8">
        <f t="shared" si="0"/>
        <v>4</v>
      </c>
      <c r="D8">
        <v>0</v>
      </c>
      <c r="E8">
        <v>4</v>
      </c>
      <c r="F8">
        <f t="shared" si="1"/>
        <v>0</v>
      </c>
    </row>
    <row r="9" spans="1:6" x14ac:dyDescent="0.25">
      <c r="A9" t="s">
        <v>609</v>
      </c>
      <c r="B9">
        <v>51</v>
      </c>
      <c r="C9">
        <f t="shared" si="0"/>
        <v>7</v>
      </c>
      <c r="D9">
        <v>4</v>
      </c>
      <c r="E9">
        <v>3</v>
      </c>
      <c r="F9">
        <f t="shared" si="1"/>
        <v>0</v>
      </c>
    </row>
    <row r="10" spans="1:6" x14ac:dyDescent="0.25">
      <c r="A10" t="s">
        <v>610</v>
      </c>
      <c r="B10">
        <v>63</v>
      </c>
      <c r="C10">
        <f t="shared" si="0"/>
        <v>12</v>
      </c>
      <c r="D10">
        <v>8</v>
      </c>
      <c r="E10">
        <v>4</v>
      </c>
      <c r="F10">
        <f t="shared" si="1"/>
        <v>0</v>
      </c>
    </row>
    <row r="11" spans="1:6" x14ac:dyDescent="0.25">
      <c r="A11" t="s">
        <v>611</v>
      </c>
      <c r="B11">
        <v>69</v>
      </c>
      <c r="C11">
        <f t="shared" si="0"/>
        <v>6</v>
      </c>
      <c r="D11">
        <v>5</v>
      </c>
      <c r="E11">
        <v>1</v>
      </c>
      <c r="F11">
        <f t="shared" si="1"/>
        <v>0</v>
      </c>
    </row>
    <row r="12" spans="1:6" x14ac:dyDescent="0.25">
      <c r="A12" t="s">
        <v>612</v>
      </c>
      <c r="B12">
        <v>79</v>
      </c>
      <c r="C12">
        <f t="shared" si="0"/>
        <v>10</v>
      </c>
      <c r="D12">
        <v>4</v>
      </c>
      <c r="E12">
        <v>6</v>
      </c>
      <c r="F12">
        <f t="shared" si="1"/>
        <v>0</v>
      </c>
    </row>
    <row r="13" spans="1:6" x14ac:dyDescent="0.25">
      <c r="A13" t="s">
        <v>613</v>
      </c>
      <c r="B13">
        <v>88</v>
      </c>
      <c r="C13">
        <f t="shared" si="0"/>
        <v>9</v>
      </c>
      <c r="D13">
        <v>3</v>
      </c>
      <c r="E13">
        <v>6</v>
      </c>
      <c r="F13">
        <f t="shared" si="1"/>
        <v>0</v>
      </c>
    </row>
    <row r="14" spans="1:6" x14ac:dyDescent="0.25">
      <c r="A14" t="s">
        <v>614</v>
      </c>
      <c r="B14">
        <v>95</v>
      </c>
      <c r="C14">
        <f t="shared" si="0"/>
        <v>7</v>
      </c>
      <c r="D14">
        <v>4</v>
      </c>
      <c r="E14">
        <v>3</v>
      </c>
      <c r="F14">
        <f t="shared" si="1"/>
        <v>0</v>
      </c>
    </row>
    <row r="15" spans="1:6" x14ac:dyDescent="0.25">
      <c r="A15" t="s">
        <v>615</v>
      </c>
      <c r="B15">
        <v>98</v>
      </c>
      <c r="C15">
        <f t="shared" si="0"/>
        <v>3</v>
      </c>
      <c r="D15">
        <v>3</v>
      </c>
      <c r="E15">
        <v>0</v>
      </c>
      <c r="F15">
        <f t="shared" si="1"/>
        <v>0</v>
      </c>
    </row>
    <row r="16" spans="1:6" x14ac:dyDescent="0.25">
      <c r="A16" t="s">
        <v>616</v>
      </c>
      <c r="B16">
        <v>101</v>
      </c>
      <c r="C16">
        <f t="shared" si="0"/>
        <v>3</v>
      </c>
      <c r="D16">
        <v>1</v>
      </c>
      <c r="E16">
        <v>2</v>
      </c>
      <c r="F16">
        <f t="shared" si="1"/>
        <v>0</v>
      </c>
    </row>
    <row r="17" spans="1:6" x14ac:dyDescent="0.25">
      <c r="A17" t="s">
        <v>617</v>
      </c>
      <c r="B17">
        <v>108</v>
      </c>
      <c r="C17">
        <f t="shared" si="0"/>
        <v>7</v>
      </c>
      <c r="D17">
        <v>5</v>
      </c>
      <c r="E17">
        <v>2</v>
      </c>
      <c r="F17">
        <f t="shared" si="1"/>
        <v>0</v>
      </c>
    </row>
    <row r="18" spans="1:6" x14ac:dyDescent="0.25">
      <c r="A18" t="s">
        <v>618</v>
      </c>
      <c r="B18">
        <v>110</v>
      </c>
      <c r="C18">
        <f t="shared" si="0"/>
        <v>2</v>
      </c>
      <c r="D18">
        <v>2</v>
      </c>
      <c r="E18">
        <v>0</v>
      </c>
      <c r="F18">
        <f t="shared" si="1"/>
        <v>0</v>
      </c>
    </row>
    <row r="19" spans="1:6" x14ac:dyDescent="0.25">
      <c r="A19" t="s">
        <v>619</v>
      </c>
      <c r="B19">
        <v>121</v>
      </c>
      <c r="C19">
        <f t="shared" si="0"/>
        <v>11</v>
      </c>
      <c r="D19">
        <v>5</v>
      </c>
      <c r="E19">
        <v>6</v>
      </c>
      <c r="F19">
        <f t="shared" si="1"/>
        <v>0</v>
      </c>
    </row>
    <row r="20" spans="1:6" x14ac:dyDescent="0.25">
      <c r="A20" t="s">
        <v>620</v>
      </c>
      <c r="B20">
        <v>122</v>
      </c>
      <c r="C20">
        <f t="shared" si="0"/>
        <v>1</v>
      </c>
      <c r="D20">
        <v>0</v>
      </c>
      <c r="E20">
        <v>1</v>
      </c>
      <c r="F20">
        <f t="shared" si="1"/>
        <v>0</v>
      </c>
    </row>
    <row r="21" spans="1:6" x14ac:dyDescent="0.25">
      <c r="A21" t="s">
        <v>621</v>
      </c>
      <c r="B21">
        <v>134</v>
      </c>
      <c r="C21">
        <f t="shared" si="0"/>
        <v>12</v>
      </c>
      <c r="D21">
        <v>8</v>
      </c>
      <c r="E21">
        <v>4</v>
      </c>
      <c r="F21">
        <f t="shared" si="1"/>
        <v>0</v>
      </c>
    </row>
    <row r="22" spans="1:6" x14ac:dyDescent="0.25">
      <c r="A22" t="s">
        <v>622</v>
      </c>
      <c r="B22">
        <v>140</v>
      </c>
      <c r="C22">
        <f t="shared" si="0"/>
        <v>6</v>
      </c>
      <c r="D22">
        <v>4</v>
      </c>
      <c r="E22">
        <v>2</v>
      </c>
      <c r="F22">
        <f t="shared" si="1"/>
        <v>0</v>
      </c>
    </row>
    <row r="23" spans="1:6" x14ac:dyDescent="0.25">
      <c r="A23" t="s">
        <v>623</v>
      </c>
      <c r="B23">
        <v>143</v>
      </c>
      <c r="C23">
        <f t="shared" si="0"/>
        <v>3</v>
      </c>
      <c r="D23">
        <v>2</v>
      </c>
      <c r="E23">
        <v>1</v>
      </c>
      <c r="F23">
        <f t="shared" si="1"/>
        <v>0</v>
      </c>
    </row>
    <row r="24" spans="1:6" x14ac:dyDescent="0.25">
      <c r="A24" t="s">
        <v>624</v>
      </c>
      <c r="B24">
        <v>146</v>
      </c>
      <c r="C24">
        <f t="shared" si="0"/>
        <v>3</v>
      </c>
      <c r="D24">
        <v>1</v>
      </c>
      <c r="E24">
        <v>2</v>
      </c>
      <c r="F24">
        <f t="shared" si="1"/>
        <v>0</v>
      </c>
    </row>
    <row r="25" spans="1:6" x14ac:dyDescent="0.25">
      <c r="A25" t="s">
        <v>625</v>
      </c>
      <c r="B25">
        <v>155</v>
      </c>
      <c r="C25">
        <f t="shared" si="0"/>
        <v>9</v>
      </c>
      <c r="D25">
        <v>4</v>
      </c>
      <c r="E25">
        <v>5</v>
      </c>
      <c r="F25">
        <f t="shared" si="1"/>
        <v>0</v>
      </c>
    </row>
    <row r="26" spans="1:6" x14ac:dyDescent="0.25">
      <c r="A26" t="s">
        <v>626</v>
      </c>
      <c r="B26">
        <v>164</v>
      </c>
      <c r="C26">
        <f t="shared" si="0"/>
        <v>9</v>
      </c>
      <c r="D26">
        <v>4</v>
      </c>
      <c r="E26">
        <v>5</v>
      </c>
      <c r="F26">
        <f t="shared" si="1"/>
        <v>0</v>
      </c>
    </row>
    <row r="27" spans="1:6" x14ac:dyDescent="0.25">
      <c r="A27" t="s">
        <v>627</v>
      </c>
      <c r="B27">
        <v>176</v>
      </c>
      <c r="C27">
        <f t="shared" si="0"/>
        <v>12</v>
      </c>
      <c r="D27">
        <v>10</v>
      </c>
      <c r="E27">
        <v>2</v>
      </c>
      <c r="F27">
        <f t="shared" si="1"/>
        <v>0</v>
      </c>
    </row>
    <row r="28" spans="1:6" x14ac:dyDescent="0.25">
      <c r="A28" t="s">
        <v>628</v>
      </c>
      <c r="B28">
        <v>179</v>
      </c>
      <c r="C28">
        <f t="shared" si="0"/>
        <v>3</v>
      </c>
      <c r="D28">
        <v>2</v>
      </c>
      <c r="E28">
        <v>1</v>
      </c>
      <c r="F28">
        <f t="shared" si="1"/>
        <v>0</v>
      </c>
    </row>
    <row r="29" spans="1:6" x14ac:dyDescent="0.25">
      <c r="A29" t="s">
        <v>629</v>
      </c>
      <c r="B29">
        <v>193</v>
      </c>
      <c r="C29">
        <f t="shared" si="0"/>
        <v>14</v>
      </c>
      <c r="D29">
        <v>8</v>
      </c>
      <c r="E29">
        <v>6</v>
      </c>
      <c r="F29">
        <f t="shared" si="1"/>
        <v>0</v>
      </c>
    </row>
    <row r="30" spans="1:6" x14ac:dyDescent="0.25">
      <c r="A30" t="s">
        <v>630</v>
      </c>
      <c r="B30">
        <v>203</v>
      </c>
      <c r="C30">
        <f t="shared" si="0"/>
        <v>10</v>
      </c>
      <c r="D30">
        <v>10</v>
      </c>
      <c r="E30">
        <v>0</v>
      </c>
      <c r="F30">
        <f t="shared" si="1"/>
        <v>0</v>
      </c>
    </row>
    <row r="31" spans="1:6" x14ac:dyDescent="0.25">
      <c r="A31" t="s">
        <v>631</v>
      </c>
      <c r="B31">
        <v>214</v>
      </c>
      <c r="C31">
        <f t="shared" si="0"/>
        <v>11</v>
      </c>
      <c r="D31">
        <v>7</v>
      </c>
      <c r="E31">
        <v>4</v>
      </c>
      <c r="F31">
        <f t="shared" si="1"/>
        <v>0</v>
      </c>
    </row>
    <row r="32" spans="1:6" x14ac:dyDescent="0.25">
      <c r="A32" t="s">
        <v>632</v>
      </c>
      <c r="B32">
        <v>226</v>
      </c>
      <c r="C32">
        <f t="shared" si="0"/>
        <v>12</v>
      </c>
      <c r="D32">
        <v>8</v>
      </c>
      <c r="E32">
        <v>4</v>
      </c>
      <c r="F32">
        <f t="shared" si="1"/>
        <v>0</v>
      </c>
    </row>
    <row r="33" spans="1:6" x14ac:dyDescent="0.25">
      <c r="A33" t="s">
        <v>633</v>
      </c>
      <c r="B33">
        <v>232</v>
      </c>
      <c r="C33">
        <f t="shared" si="0"/>
        <v>6</v>
      </c>
      <c r="D33">
        <v>4</v>
      </c>
      <c r="E33">
        <v>2</v>
      </c>
      <c r="F33">
        <f t="shared" si="1"/>
        <v>0</v>
      </c>
    </row>
    <row r="34" spans="1:6" x14ac:dyDescent="0.25">
      <c r="A34" t="s">
        <v>634</v>
      </c>
      <c r="B34">
        <v>243</v>
      </c>
      <c r="C34">
        <f t="shared" si="0"/>
        <v>11</v>
      </c>
      <c r="D34">
        <v>4</v>
      </c>
      <c r="E34">
        <v>7</v>
      </c>
      <c r="F34">
        <f t="shared" si="1"/>
        <v>0</v>
      </c>
    </row>
    <row r="35" spans="1:6" x14ac:dyDescent="0.25">
      <c r="A35" t="s">
        <v>635</v>
      </c>
      <c r="B35">
        <v>254</v>
      </c>
      <c r="C35">
        <f t="shared" si="0"/>
        <v>11</v>
      </c>
      <c r="D35">
        <v>6</v>
      </c>
      <c r="E35">
        <v>5</v>
      </c>
      <c r="F35">
        <f t="shared" si="1"/>
        <v>0</v>
      </c>
    </row>
    <row r="36" spans="1:6" x14ac:dyDescent="0.25">
      <c r="A36" t="s">
        <v>636</v>
      </c>
      <c r="B36">
        <v>257</v>
      </c>
      <c r="C36">
        <f t="shared" si="0"/>
        <v>3</v>
      </c>
      <c r="D36">
        <v>2</v>
      </c>
      <c r="E36">
        <v>1</v>
      </c>
      <c r="F36">
        <f t="shared" si="1"/>
        <v>0</v>
      </c>
    </row>
    <row r="37" spans="1:6" x14ac:dyDescent="0.25">
      <c r="A37" t="s">
        <v>637</v>
      </c>
      <c r="B37">
        <v>258</v>
      </c>
      <c r="C37">
        <f t="shared" si="0"/>
        <v>1</v>
      </c>
      <c r="D37">
        <v>1</v>
      </c>
      <c r="E37">
        <v>0</v>
      </c>
      <c r="F37">
        <f t="shared" si="1"/>
        <v>0</v>
      </c>
    </row>
    <row r="38" spans="1:6" x14ac:dyDescent="0.25">
      <c r="A38" t="s">
        <v>638</v>
      </c>
      <c r="B38">
        <v>261</v>
      </c>
      <c r="C38">
        <f t="shared" si="0"/>
        <v>3</v>
      </c>
      <c r="D38">
        <v>2</v>
      </c>
      <c r="E38">
        <v>1</v>
      </c>
      <c r="F38">
        <f t="shared" si="1"/>
        <v>0</v>
      </c>
    </row>
    <row r="39" spans="1:6" x14ac:dyDescent="0.25">
      <c r="A39" t="s">
        <v>639</v>
      </c>
      <c r="B39">
        <v>269</v>
      </c>
      <c r="C39">
        <f t="shared" si="0"/>
        <v>8</v>
      </c>
      <c r="D39">
        <v>3</v>
      </c>
      <c r="E39">
        <v>5</v>
      </c>
      <c r="F39">
        <f t="shared" si="1"/>
        <v>0</v>
      </c>
    </row>
    <row r="40" spans="1:6" x14ac:dyDescent="0.25">
      <c r="A40" t="s">
        <v>640</v>
      </c>
      <c r="B40">
        <v>276</v>
      </c>
      <c r="C40">
        <f t="shared" si="0"/>
        <v>7</v>
      </c>
      <c r="D40">
        <v>4</v>
      </c>
      <c r="E40">
        <v>3</v>
      </c>
      <c r="F40">
        <f t="shared" si="1"/>
        <v>0</v>
      </c>
    </row>
    <row r="41" spans="1:6" x14ac:dyDescent="0.25">
      <c r="A41" t="s">
        <v>641</v>
      </c>
      <c r="B41">
        <v>288</v>
      </c>
      <c r="C41">
        <f t="shared" si="0"/>
        <v>12</v>
      </c>
      <c r="D41">
        <v>2</v>
      </c>
      <c r="E41">
        <v>10</v>
      </c>
      <c r="F41">
        <f t="shared" si="1"/>
        <v>0</v>
      </c>
    </row>
    <row r="42" spans="1:6" x14ac:dyDescent="0.25">
      <c r="A42" t="s">
        <v>642</v>
      </c>
      <c r="B42">
        <v>297</v>
      </c>
      <c r="C42">
        <f t="shared" si="0"/>
        <v>9</v>
      </c>
      <c r="D42">
        <v>5</v>
      </c>
      <c r="E42">
        <v>4</v>
      </c>
      <c r="F42">
        <f t="shared" si="1"/>
        <v>0</v>
      </c>
    </row>
    <row r="43" spans="1:6" x14ac:dyDescent="0.25">
      <c r="A43" t="s">
        <v>643</v>
      </c>
      <c r="B43">
        <v>302</v>
      </c>
      <c r="C43">
        <f t="shared" si="0"/>
        <v>5</v>
      </c>
      <c r="D43">
        <v>3</v>
      </c>
      <c r="E43">
        <v>2</v>
      </c>
      <c r="F43">
        <f t="shared" si="1"/>
        <v>0</v>
      </c>
    </row>
    <row r="44" spans="1:6" x14ac:dyDescent="0.25">
      <c r="A44" t="s">
        <v>644</v>
      </c>
      <c r="B44">
        <v>311</v>
      </c>
      <c r="C44">
        <f t="shared" si="0"/>
        <v>9</v>
      </c>
      <c r="D44">
        <v>5</v>
      </c>
      <c r="E44">
        <v>4</v>
      </c>
      <c r="F44">
        <f t="shared" si="1"/>
        <v>0</v>
      </c>
    </row>
    <row r="45" spans="1:6" x14ac:dyDescent="0.25">
      <c r="A45" t="s">
        <v>645</v>
      </c>
      <c r="B45">
        <v>330</v>
      </c>
      <c r="C45">
        <f t="shared" si="0"/>
        <v>19</v>
      </c>
      <c r="D45">
        <v>9</v>
      </c>
      <c r="E45">
        <v>10</v>
      </c>
      <c r="F45">
        <f t="shared" si="1"/>
        <v>0</v>
      </c>
    </row>
    <row r="46" spans="1:6" x14ac:dyDescent="0.25">
      <c r="A46" t="s">
        <v>646</v>
      </c>
      <c r="B46">
        <v>335</v>
      </c>
      <c r="C46">
        <f t="shared" si="0"/>
        <v>5</v>
      </c>
      <c r="D46">
        <v>2</v>
      </c>
      <c r="E46">
        <v>3</v>
      </c>
      <c r="F46">
        <f t="shared" si="1"/>
        <v>0</v>
      </c>
    </row>
    <row r="47" spans="1:6" x14ac:dyDescent="0.25">
      <c r="A47" t="s">
        <v>647</v>
      </c>
      <c r="B47">
        <v>338</v>
      </c>
      <c r="C47">
        <f t="shared" si="0"/>
        <v>3</v>
      </c>
      <c r="D47">
        <v>1</v>
      </c>
      <c r="E47">
        <v>2</v>
      </c>
      <c r="F47">
        <f t="shared" si="1"/>
        <v>0</v>
      </c>
    </row>
    <row r="48" spans="1:6" x14ac:dyDescent="0.25">
      <c r="A48" t="s">
        <v>648</v>
      </c>
      <c r="B48">
        <v>340</v>
      </c>
      <c r="C48">
        <f t="shared" si="0"/>
        <v>2</v>
      </c>
      <c r="D48">
        <v>2</v>
      </c>
      <c r="E48">
        <v>0</v>
      </c>
      <c r="F48">
        <f t="shared" si="1"/>
        <v>0</v>
      </c>
    </row>
    <row r="49" spans="1:6" x14ac:dyDescent="0.25">
      <c r="A49" t="s">
        <v>649</v>
      </c>
      <c r="B49">
        <v>353</v>
      </c>
      <c r="C49">
        <f t="shared" si="0"/>
        <v>13</v>
      </c>
      <c r="D49">
        <v>2</v>
      </c>
      <c r="E49">
        <v>11</v>
      </c>
      <c r="F49">
        <f t="shared" si="1"/>
        <v>0</v>
      </c>
    </row>
    <row r="50" spans="1:6" x14ac:dyDescent="0.25">
      <c r="A50" t="s">
        <v>650</v>
      </c>
      <c r="B50">
        <v>365</v>
      </c>
      <c r="C50">
        <f t="shared" si="0"/>
        <v>12</v>
      </c>
      <c r="D50">
        <v>5</v>
      </c>
      <c r="E50">
        <v>7</v>
      </c>
      <c r="F50">
        <f t="shared" si="1"/>
        <v>0</v>
      </c>
    </row>
    <row r="51" spans="1:6" x14ac:dyDescent="0.25">
      <c r="A51" t="s">
        <v>651</v>
      </c>
      <c r="B51">
        <v>372</v>
      </c>
      <c r="C51">
        <f t="shared" si="0"/>
        <v>7</v>
      </c>
      <c r="D51">
        <v>2</v>
      </c>
      <c r="E51">
        <v>5</v>
      </c>
      <c r="F51">
        <f t="shared" si="1"/>
        <v>0</v>
      </c>
    </row>
    <row r="52" spans="1:6" x14ac:dyDescent="0.25">
      <c r="A52" t="s">
        <v>652</v>
      </c>
      <c r="B52">
        <v>385</v>
      </c>
      <c r="C52">
        <f t="shared" si="0"/>
        <v>13</v>
      </c>
      <c r="D52">
        <v>5</v>
      </c>
      <c r="E52">
        <v>8</v>
      </c>
      <c r="F52">
        <f t="shared" si="1"/>
        <v>0</v>
      </c>
    </row>
    <row r="53" spans="1:6" x14ac:dyDescent="0.25">
      <c r="A53" t="s">
        <v>653</v>
      </c>
      <c r="B53">
        <v>388</v>
      </c>
      <c r="C53">
        <f t="shared" si="0"/>
        <v>3</v>
      </c>
      <c r="D53">
        <v>3</v>
      </c>
      <c r="E53">
        <v>0</v>
      </c>
      <c r="F53">
        <f t="shared" si="1"/>
        <v>0</v>
      </c>
    </row>
    <row r="54" spans="1:6" x14ac:dyDescent="0.25">
      <c r="A54" t="s">
        <v>654</v>
      </c>
      <c r="B54">
        <v>393</v>
      </c>
      <c r="C54">
        <f t="shared" si="0"/>
        <v>5</v>
      </c>
      <c r="D54">
        <v>3</v>
      </c>
      <c r="E54">
        <v>2</v>
      </c>
      <c r="F54">
        <f t="shared" si="1"/>
        <v>0</v>
      </c>
    </row>
    <row r="55" spans="1:6" x14ac:dyDescent="0.25">
      <c r="A55" t="s">
        <v>655</v>
      </c>
      <c r="B55">
        <v>401</v>
      </c>
      <c r="C55">
        <f t="shared" si="0"/>
        <v>8</v>
      </c>
      <c r="D55">
        <v>5</v>
      </c>
      <c r="E55">
        <v>3</v>
      </c>
      <c r="F55">
        <f t="shared" si="1"/>
        <v>0</v>
      </c>
    </row>
    <row r="56" spans="1:6" x14ac:dyDescent="0.25">
      <c r="A56" t="s">
        <v>656</v>
      </c>
      <c r="B56">
        <v>413</v>
      </c>
      <c r="C56">
        <f t="shared" si="0"/>
        <v>12</v>
      </c>
      <c r="D56">
        <v>9</v>
      </c>
      <c r="E56">
        <v>3</v>
      </c>
      <c r="F56">
        <f t="shared" si="1"/>
        <v>0</v>
      </c>
    </row>
    <row r="57" spans="1:6" x14ac:dyDescent="0.25">
      <c r="A57" t="s">
        <v>657</v>
      </c>
      <c r="B57">
        <v>423</v>
      </c>
      <c r="C57">
        <f t="shared" si="0"/>
        <v>10</v>
      </c>
      <c r="D57">
        <v>4</v>
      </c>
      <c r="E57">
        <v>6</v>
      </c>
      <c r="F57">
        <f t="shared" si="1"/>
        <v>0</v>
      </c>
    </row>
    <row r="58" spans="1:6" x14ac:dyDescent="0.25">
      <c r="A58" t="s">
        <v>658</v>
      </c>
      <c r="B58">
        <v>433</v>
      </c>
      <c r="C58">
        <f t="shared" si="0"/>
        <v>10</v>
      </c>
      <c r="D58">
        <v>6</v>
      </c>
      <c r="E58">
        <v>4</v>
      </c>
      <c r="F58">
        <f t="shared" si="1"/>
        <v>0</v>
      </c>
    </row>
    <row r="59" spans="1:6" x14ac:dyDescent="0.25">
      <c r="A59" t="s">
        <v>659</v>
      </c>
      <c r="B59">
        <v>436</v>
      </c>
      <c r="C59">
        <f t="shared" si="0"/>
        <v>3</v>
      </c>
      <c r="D59">
        <v>1</v>
      </c>
      <c r="E59">
        <v>2</v>
      </c>
      <c r="F59">
        <f t="shared" si="1"/>
        <v>0</v>
      </c>
    </row>
    <row r="60" spans="1:6" x14ac:dyDescent="0.25">
      <c r="A60" t="s">
        <v>660</v>
      </c>
      <c r="B60">
        <v>440</v>
      </c>
      <c r="C60">
        <f t="shared" si="0"/>
        <v>4</v>
      </c>
      <c r="D60">
        <v>3</v>
      </c>
      <c r="E60">
        <v>1</v>
      </c>
      <c r="F60">
        <f t="shared" si="1"/>
        <v>0</v>
      </c>
    </row>
    <row r="61" spans="1:6" x14ac:dyDescent="0.25">
      <c r="A61" t="s">
        <v>661</v>
      </c>
      <c r="B61">
        <v>452</v>
      </c>
      <c r="C61">
        <f t="shared" si="0"/>
        <v>12</v>
      </c>
      <c r="D61">
        <v>8</v>
      </c>
      <c r="E61">
        <v>4</v>
      </c>
      <c r="F61">
        <f t="shared" si="1"/>
        <v>0</v>
      </c>
    </row>
    <row r="62" spans="1:6" x14ac:dyDescent="0.25">
      <c r="A62" s="5" t="s">
        <v>662</v>
      </c>
      <c r="B62">
        <v>457</v>
      </c>
      <c r="C62" s="5">
        <f t="shared" si="0"/>
        <v>5</v>
      </c>
      <c r="D62" s="5">
        <v>0</v>
      </c>
      <c r="E62" s="5">
        <v>5</v>
      </c>
      <c r="F62" s="5">
        <f t="shared" si="1"/>
        <v>0</v>
      </c>
    </row>
    <row r="63" spans="1:6" x14ac:dyDescent="0.25">
      <c r="A63" t="s">
        <v>663</v>
      </c>
      <c r="B63">
        <v>466</v>
      </c>
      <c r="C63">
        <f t="shared" si="0"/>
        <v>9</v>
      </c>
      <c r="D63">
        <v>5</v>
      </c>
      <c r="E63">
        <v>4</v>
      </c>
      <c r="F63">
        <f t="shared" si="1"/>
        <v>0</v>
      </c>
    </row>
    <row r="64" spans="1:6" x14ac:dyDescent="0.25">
      <c r="A64" t="s">
        <v>664</v>
      </c>
      <c r="B64">
        <v>471</v>
      </c>
      <c r="C64">
        <f t="shared" si="0"/>
        <v>5</v>
      </c>
      <c r="D64">
        <v>4</v>
      </c>
      <c r="E64">
        <v>1</v>
      </c>
      <c r="F64">
        <f t="shared" si="1"/>
        <v>0</v>
      </c>
    </row>
    <row r="65" spans="1:6" x14ac:dyDescent="0.25">
      <c r="A65" t="s">
        <v>665</v>
      </c>
      <c r="B65">
        <v>473</v>
      </c>
      <c r="C65">
        <f t="shared" si="0"/>
        <v>2</v>
      </c>
      <c r="D65">
        <v>0</v>
      </c>
      <c r="E65">
        <v>2</v>
      </c>
      <c r="F65">
        <f t="shared" si="1"/>
        <v>0</v>
      </c>
    </row>
    <row r="66" spans="1:6" x14ac:dyDescent="0.25">
      <c r="A66" t="s">
        <v>666</v>
      </c>
      <c r="B66">
        <v>479</v>
      </c>
      <c r="C66">
        <f t="shared" si="0"/>
        <v>6</v>
      </c>
      <c r="D66">
        <v>2</v>
      </c>
      <c r="E66">
        <v>4</v>
      </c>
      <c r="F66">
        <f t="shared" si="1"/>
        <v>0</v>
      </c>
    </row>
    <row r="67" spans="1:6" x14ac:dyDescent="0.25">
      <c r="A67" t="s">
        <v>667</v>
      </c>
      <c r="B67">
        <v>488</v>
      </c>
      <c r="C67">
        <f t="shared" si="0"/>
        <v>9</v>
      </c>
      <c r="D67">
        <v>1</v>
      </c>
      <c r="E67">
        <v>8</v>
      </c>
      <c r="F67">
        <f t="shared" si="1"/>
        <v>0</v>
      </c>
    </row>
    <row r="68" spans="1:6" x14ac:dyDescent="0.25">
      <c r="A68" t="s">
        <v>668</v>
      </c>
      <c r="B68">
        <v>498</v>
      </c>
      <c r="C68">
        <f t="shared" ref="C68:C82" si="2">B68-B67</f>
        <v>10</v>
      </c>
      <c r="D68">
        <v>3</v>
      </c>
      <c r="E68">
        <v>7</v>
      </c>
      <c r="F68">
        <f t="shared" ref="F68:F82" si="3">C68-D68-E68</f>
        <v>0</v>
      </c>
    </row>
    <row r="69" spans="1:6" x14ac:dyDescent="0.25">
      <c r="A69" t="s">
        <v>669</v>
      </c>
      <c r="B69">
        <v>513</v>
      </c>
      <c r="C69">
        <f t="shared" si="2"/>
        <v>15</v>
      </c>
      <c r="D69">
        <v>8</v>
      </c>
      <c r="E69">
        <v>7</v>
      </c>
      <c r="F69">
        <f t="shared" si="3"/>
        <v>0</v>
      </c>
    </row>
    <row r="70" spans="1:6" x14ac:dyDescent="0.25">
      <c r="A70" t="s">
        <v>670</v>
      </c>
      <c r="B70">
        <v>522</v>
      </c>
      <c r="C70">
        <f t="shared" si="2"/>
        <v>9</v>
      </c>
      <c r="D70">
        <v>3</v>
      </c>
      <c r="E70">
        <v>6</v>
      </c>
      <c r="F70">
        <f t="shared" si="3"/>
        <v>0</v>
      </c>
    </row>
    <row r="71" spans="1:6" x14ac:dyDescent="0.25">
      <c r="A71" t="s">
        <v>671</v>
      </c>
      <c r="B71">
        <v>531</v>
      </c>
      <c r="C71">
        <f t="shared" si="2"/>
        <v>9</v>
      </c>
      <c r="D71">
        <v>7</v>
      </c>
      <c r="E71">
        <v>2</v>
      </c>
      <c r="F71">
        <f t="shared" si="3"/>
        <v>0</v>
      </c>
    </row>
    <row r="72" spans="1:6" x14ac:dyDescent="0.25">
      <c r="A72" t="s">
        <v>672</v>
      </c>
      <c r="B72">
        <v>541</v>
      </c>
      <c r="C72">
        <f t="shared" si="2"/>
        <v>10</v>
      </c>
      <c r="D72">
        <v>3</v>
      </c>
      <c r="E72">
        <v>7</v>
      </c>
      <c r="F72">
        <f t="shared" si="3"/>
        <v>0</v>
      </c>
    </row>
    <row r="73" spans="1:6" x14ac:dyDescent="0.25">
      <c r="A73" t="s">
        <v>673</v>
      </c>
      <c r="B73">
        <v>552</v>
      </c>
      <c r="C73">
        <f t="shared" si="2"/>
        <v>11</v>
      </c>
      <c r="D73">
        <v>4</v>
      </c>
      <c r="E73">
        <v>7</v>
      </c>
      <c r="F73">
        <f t="shared" si="3"/>
        <v>0</v>
      </c>
    </row>
    <row r="74" spans="1:6" x14ac:dyDescent="0.25">
      <c r="A74" t="s">
        <v>674</v>
      </c>
      <c r="B74">
        <v>559</v>
      </c>
      <c r="C74">
        <f t="shared" si="2"/>
        <v>7</v>
      </c>
      <c r="D74">
        <v>4</v>
      </c>
      <c r="E74">
        <v>3</v>
      </c>
      <c r="F74">
        <f t="shared" si="3"/>
        <v>0</v>
      </c>
    </row>
    <row r="75" spans="1:6" x14ac:dyDescent="0.25">
      <c r="A75" t="s">
        <v>675</v>
      </c>
      <c r="B75">
        <v>571</v>
      </c>
      <c r="C75">
        <f t="shared" si="2"/>
        <v>12</v>
      </c>
      <c r="D75">
        <v>3</v>
      </c>
      <c r="E75">
        <v>9</v>
      </c>
      <c r="F75">
        <f t="shared" si="3"/>
        <v>0</v>
      </c>
    </row>
    <row r="76" spans="1:6" x14ac:dyDescent="0.25">
      <c r="A76" t="s">
        <v>676</v>
      </c>
      <c r="B76">
        <v>581</v>
      </c>
      <c r="C76">
        <f t="shared" si="2"/>
        <v>10</v>
      </c>
      <c r="D76">
        <v>8</v>
      </c>
      <c r="E76">
        <v>2</v>
      </c>
      <c r="F76">
        <f t="shared" si="3"/>
        <v>0</v>
      </c>
    </row>
    <row r="77" spans="1:6" x14ac:dyDescent="0.25">
      <c r="A77" t="s">
        <v>677</v>
      </c>
      <c r="B77">
        <v>584</v>
      </c>
      <c r="C77">
        <f t="shared" si="2"/>
        <v>3</v>
      </c>
      <c r="D77">
        <v>0</v>
      </c>
      <c r="E77">
        <v>3</v>
      </c>
      <c r="F77">
        <f t="shared" si="3"/>
        <v>0</v>
      </c>
    </row>
    <row r="78" spans="1:6" x14ac:dyDescent="0.25">
      <c r="A78" t="s">
        <v>678</v>
      </c>
      <c r="B78">
        <v>589</v>
      </c>
      <c r="C78">
        <f t="shared" si="2"/>
        <v>5</v>
      </c>
      <c r="D78">
        <v>1</v>
      </c>
      <c r="E78">
        <v>4</v>
      </c>
      <c r="F78">
        <f t="shared" si="3"/>
        <v>0</v>
      </c>
    </row>
    <row r="79" spans="1:6" x14ac:dyDescent="0.25">
      <c r="A79" t="s">
        <v>679</v>
      </c>
      <c r="B79">
        <v>596</v>
      </c>
      <c r="C79">
        <f t="shared" si="2"/>
        <v>7</v>
      </c>
      <c r="D79">
        <v>4</v>
      </c>
      <c r="E79">
        <v>3</v>
      </c>
      <c r="F79">
        <f t="shared" si="3"/>
        <v>0</v>
      </c>
    </row>
    <row r="80" spans="1:6" x14ac:dyDescent="0.25">
      <c r="A80" t="s">
        <v>680</v>
      </c>
      <c r="B80">
        <v>607</v>
      </c>
      <c r="C80">
        <f t="shared" si="2"/>
        <v>11</v>
      </c>
      <c r="D80">
        <v>4</v>
      </c>
      <c r="E80">
        <v>7</v>
      </c>
      <c r="F80">
        <f t="shared" si="3"/>
        <v>0</v>
      </c>
    </row>
    <row r="81" spans="1:34" x14ac:dyDescent="0.25">
      <c r="A81" t="s">
        <v>681</v>
      </c>
      <c r="B81">
        <v>612</v>
      </c>
      <c r="C81">
        <f t="shared" si="2"/>
        <v>5</v>
      </c>
      <c r="D81">
        <v>4</v>
      </c>
      <c r="E81">
        <v>1</v>
      </c>
      <c r="F81">
        <f t="shared" si="3"/>
        <v>0</v>
      </c>
    </row>
    <row r="82" spans="1:34" x14ac:dyDescent="0.25">
      <c r="A82" t="s">
        <v>682</v>
      </c>
      <c r="B82">
        <v>615</v>
      </c>
      <c r="C82">
        <f t="shared" si="2"/>
        <v>3</v>
      </c>
      <c r="D82">
        <v>3</v>
      </c>
      <c r="E82">
        <v>0</v>
      </c>
      <c r="F82">
        <f t="shared" si="3"/>
        <v>0</v>
      </c>
    </row>
    <row r="83" spans="1:34" x14ac:dyDescent="0.25">
      <c r="C83">
        <v>51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1040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C84">
        <v>4</v>
      </c>
      <c r="D84">
        <v>2</v>
      </c>
      <c r="E84">
        <v>1</v>
      </c>
      <c r="F84">
        <v>2</v>
      </c>
      <c r="G84">
        <v>1</v>
      </c>
      <c r="H84">
        <v>11</v>
      </c>
      <c r="I84">
        <v>5</v>
      </c>
      <c r="J84">
        <v>0</v>
      </c>
      <c r="K84">
        <v>8</v>
      </c>
      <c r="L84">
        <v>123</v>
      </c>
      <c r="M84">
        <v>50</v>
      </c>
      <c r="N84">
        <v>0</v>
      </c>
      <c r="O84">
        <v>4</v>
      </c>
      <c r="P84">
        <v>0</v>
      </c>
      <c r="Q84">
        <v>0</v>
      </c>
      <c r="R84">
        <v>0</v>
      </c>
      <c r="S84">
        <v>37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5">
      <c r="C85">
        <v>3</v>
      </c>
      <c r="D85">
        <v>3</v>
      </c>
      <c r="E85">
        <v>5</v>
      </c>
      <c r="F85">
        <v>3</v>
      </c>
      <c r="G85">
        <v>5</v>
      </c>
      <c r="H85">
        <v>9</v>
      </c>
      <c r="I85">
        <v>1</v>
      </c>
      <c r="J85">
        <v>0</v>
      </c>
      <c r="K85">
        <v>0</v>
      </c>
      <c r="L85">
        <v>1</v>
      </c>
      <c r="M85">
        <v>30</v>
      </c>
      <c r="N85">
        <v>0</v>
      </c>
      <c r="O85">
        <v>30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C86">
        <v>1</v>
      </c>
      <c r="D86">
        <v>4</v>
      </c>
      <c r="E86">
        <v>3</v>
      </c>
      <c r="F86">
        <v>4</v>
      </c>
      <c r="G86">
        <v>3</v>
      </c>
      <c r="H86">
        <v>1</v>
      </c>
      <c r="I86">
        <v>4</v>
      </c>
      <c r="J86">
        <v>14</v>
      </c>
      <c r="K86">
        <v>0</v>
      </c>
      <c r="L86">
        <v>0</v>
      </c>
      <c r="M86">
        <v>0</v>
      </c>
      <c r="N86">
        <v>30</v>
      </c>
      <c r="O86">
        <v>0</v>
      </c>
      <c r="P86">
        <v>5</v>
      </c>
      <c r="Q86">
        <v>12</v>
      </c>
      <c r="R86">
        <v>0</v>
      </c>
      <c r="S86">
        <v>0</v>
      </c>
      <c r="T86">
        <v>1</v>
      </c>
      <c r="U86">
        <v>1</v>
      </c>
      <c r="V86">
        <v>0</v>
      </c>
      <c r="W86">
        <v>12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C87">
        <v>1</v>
      </c>
      <c r="D87">
        <v>2</v>
      </c>
      <c r="E87">
        <v>10</v>
      </c>
      <c r="F87">
        <v>2</v>
      </c>
      <c r="G87">
        <v>10</v>
      </c>
      <c r="H87">
        <v>0</v>
      </c>
      <c r="I87">
        <v>0</v>
      </c>
      <c r="J87">
        <v>0</v>
      </c>
      <c r="K87">
        <v>4</v>
      </c>
      <c r="L87">
        <v>0</v>
      </c>
      <c r="M87">
        <v>0</v>
      </c>
      <c r="N87">
        <v>0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C88">
        <v>0</v>
      </c>
      <c r="D88">
        <v>5</v>
      </c>
      <c r="E88">
        <v>4</v>
      </c>
      <c r="F88">
        <v>5</v>
      </c>
      <c r="G88">
        <v>4</v>
      </c>
      <c r="H88">
        <v>1</v>
      </c>
      <c r="I88">
        <v>2</v>
      </c>
      <c r="J88">
        <v>1</v>
      </c>
      <c r="K88">
        <v>0</v>
      </c>
      <c r="L88">
        <v>1</v>
      </c>
      <c r="M88">
        <v>5</v>
      </c>
      <c r="N88">
        <v>3</v>
      </c>
      <c r="O88">
        <v>0</v>
      </c>
      <c r="P88">
        <v>6</v>
      </c>
      <c r="Q88">
        <v>1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C89">
        <v>0</v>
      </c>
      <c r="D89">
        <v>3</v>
      </c>
      <c r="E89">
        <v>2</v>
      </c>
      <c r="F89">
        <v>3</v>
      </c>
      <c r="G89">
        <v>2</v>
      </c>
      <c r="H89">
        <v>3</v>
      </c>
      <c r="I89">
        <v>0</v>
      </c>
      <c r="J89">
        <v>0</v>
      </c>
      <c r="K89">
        <v>0</v>
      </c>
      <c r="L89">
        <v>0</v>
      </c>
      <c r="M89">
        <v>2</v>
      </c>
      <c r="N89">
        <v>0</v>
      </c>
      <c r="O89">
        <v>2</v>
      </c>
      <c r="P89">
        <v>1</v>
      </c>
      <c r="Q89">
        <v>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C90">
        <v>0</v>
      </c>
      <c r="D90">
        <v>5</v>
      </c>
      <c r="E90">
        <v>4</v>
      </c>
      <c r="F90">
        <v>5</v>
      </c>
      <c r="G90">
        <v>4</v>
      </c>
      <c r="H90">
        <v>1</v>
      </c>
      <c r="I90">
        <v>3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2</v>
      </c>
      <c r="R90">
        <v>6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5">
      <c r="C91">
        <v>0</v>
      </c>
      <c r="D91">
        <v>9</v>
      </c>
      <c r="E91">
        <v>10</v>
      </c>
      <c r="F91">
        <v>9</v>
      </c>
      <c r="G91">
        <v>10</v>
      </c>
      <c r="H91">
        <v>0</v>
      </c>
      <c r="I91">
        <v>0</v>
      </c>
      <c r="J91">
        <v>0</v>
      </c>
      <c r="K91">
        <v>27</v>
      </c>
      <c r="L91">
        <v>251</v>
      </c>
      <c r="M91">
        <v>52</v>
      </c>
      <c r="N91">
        <v>0</v>
      </c>
      <c r="O91">
        <v>6</v>
      </c>
      <c r="P91">
        <v>0</v>
      </c>
      <c r="Q91">
        <v>0</v>
      </c>
      <c r="R91">
        <v>0</v>
      </c>
      <c r="S91">
        <v>762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C92">
        <v>0</v>
      </c>
      <c r="D92">
        <v>2</v>
      </c>
      <c r="E92">
        <v>3</v>
      </c>
      <c r="F92">
        <v>2</v>
      </c>
      <c r="G92">
        <v>3</v>
      </c>
      <c r="H92">
        <v>0</v>
      </c>
      <c r="I92">
        <v>0</v>
      </c>
      <c r="J92">
        <v>0</v>
      </c>
      <c r="K92">
        <v>9</v>
      </c>
      <c r="L92">
        <v>0</v>
      </c>
      <c r="M92">
        <v>31</v>
      </c>
      <c r="N92">
        <v>71</v>
      </c>
      <c r="O92">
        <v>3</v>
      </c>
      <c r="P92">
        <v>24</v>
      </c>
      <c r="Q92">
        <v>16</v>
      </c>
      <c r="R92">
        <v>0</v>
      </c>
      <c r="S92">
        <v>9</v>
      </c>
      <c r="T92">
        <v>157</v>
      </c>
      <c r="U92">
        <v>35</v>
      </c>
      <c r="V92">
        <v>0</v>
      </c>
      <c r="W92">
        <v>1</v>
      </c>
      <c r="X92">
        <v>0</v>
      </c>
      <c r="Y92">
        <v>0</v>
      </c>
      <c r="Z92">
        <v>0</v>
      </c>
      <c r="AA92">
        <v>40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5">
      <c r="C93">
        <v>0</v>
      </c>
      <c r="D93">
        <v>1</v>
      </c>
      <c r="E93">
        <v>2</v>
      </c>
      <c r="F93">
        <v>1</v>
      </c>
      <c r="G93">
        <v>2</v>
      </c>
      <c r="H93">
        <v>0</v>
      </c>
      <c r="I93">
        <v>0</v>
      </c>
      <c r="J93">
        <v>0</v>
      </c>
      <c r="K93">
        <v>4</v>
      </c>
      <c r="L93">
        <v>12</v>
      </c>
      <c r="M93">
        <v>8</v>
      </c>
      <c r="N93">
        <v>30</v>
      </c>
      <c r="O93">
        <v>8</v>
      </c>
      <c r="P93">
        <v>11</v>
      </c>
      <c r="Q93">
        <v>0</v>
      </c>
      <c r="R93">
        <v>0</v>
      </c>
      <c r="S93">
        <v>3</v>
      </c>
      <c r="T93">
        <v>2</v>
      </c>
      <c r="U93">
        <v>76</v>
      </c>
      <c r="V93">
        <v>0</v>
      </c>
      <c r="W93">
        <v>35</v>
      </c>
      <c r="X93">
        <v>0</v>
      </c>
      <c r="Y93">
        <v>0</v>
      </c>
      <c r="Z93">
        <v>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C94">
        <v>0</v>
      </c>
      <c r="D94">
        <v>2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3</v>
      </c>
      <c r="N94">
        <v>10</v>
      </c>
      <c r="O94">
        <v>1</v>
      </c>
      <c r="P94">
        <v>8</v>
      </c>
      <c r="Q94">
        <v>10</v>
      </c>
      <c r="R94">
        <v>28</v>
      </c>
      <c r="S94">
        <v>0</v>
      </c>
      <c r="T94">
        <v>1</v>
      </c>
      <c r="U94">
        <v>0</v>
      </c>
      <c r="V94">
        <v>44</v>
      </c>
      <c r="W94">
        <v>0</v>
      </c>
      <c r="X94">
        <v>16</v>
      </c>
      <c r="Y94">
        <v>13</v>
      </c>
      <c r="Z94">
        <v>0</v>
      </c>
      <c r="AA94">
        <v>0</v>
      </c>
      <c r="AB94">
        <v>6</v>
      </c>
      <c r="AC94">
        <v>11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C95">
        <v>0</v>
      </c>
      <c r="D95">
        <v>1</v>
      </c>
      <c r="E95">
        <v>11</v>
      </c>
      <c r="F95">
        <v>1</v>
      </c>
      <c r="G95">
        <v>11</v>
      </c>
      <c r="H95">
        <v>0</v>
      </c>
      <c r="I95">
        <v>0</v>
      </c>
      <c r="J95">
        <v>0</v>
      </c>
      <c r="K95">
        <v>2</v>
      </c>
      <c r="L95">
        <v>5</v>
      </c>
      <c r="M95">
        <v>7</v>
      </c>
      <c r="N95">
        <v>0</v>
      </c>
      <c r="O95">
        <v>1</v>
      </c>
      <c r="P95">
        <v>4</v>
      </c>
      <c r="Q95">
        <v>0</v>
      </c>
      <c r="R95">
        <v>0</v>
      </c>
      <c r="S95">
        <v>17</v>
      </c>
      <c r="T95">
        <v>2</v>
      </c>
      <c r="U95">
        <v>0</v>
      </c>
      <c r="V95">
        <v>0</v>
      </c>
      <c r="W95">
        <v>21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C96">
        <v>0</v>
      </c>
      <c r="D96">
        <v>5</v>
      </c>
      <c r="E96">
        <v>2</v>
      </c>
      <c r="F96">
        <v>5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10</v>
      </c>
      <c r="O96">
        <v>0</v>
      </c>
      <c r="P96">
        <v>3</v>
      </c>
      <c r="Q96">
        <v>5</v>
      </c>
      <c r="R96">
        <v>4</v>
      </c>
      <c r="S96">
        <v>0</v>
      </c>
      <c r="T96">
        <v>14</v>
      </c>
      <c r="U96">
        <v>6</v>
      </c>
      <c r="V96">
        <v>1</v>
      </c>
      <c r="W96">
        <v>1</v>
      </c>
      <c r="X96">
        <v>11</v>
      </c>
      <c r="Y96">
        <v>1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11</v>
      </c>
      <c r="AF96">
        <v>0</v>
      </c>
      <c r="AG96">
        <v>0</v>
      </c>
      <c r="AH96">
        <v>0</v>
      </c>
    </row>
    <row r="97" spans="3:34" x14ac:dyDescent="0.25">
      <c r="C97">
        <v>0</v>
      </c>
      <c r="D97">
        <v>8</v>
      </c>
      <c r="E97">
        <v>9</v>
      </c>
      <c r="F97">
        <v>8</v>
      </c>
      <c r="G97">
        <v>9</v>
      </c>
      <c r="H97">
        <v>0</v>
      </c>
      <c r="I97">
        <v>0</v>
      </c>
      <c r="J97">
        <v>0</v>
      </c>
      <c r="K97">
        <v>2</v>
      </c>
      <c r="L97">
        <v>4</v>
      </c>
      <c r="M97">
        <v>2</v>
      </c>
      <c r="N97">
        <v>0</v>
      </c>
      <c r="O97">
        <v>0</v>
      </c>
      <c r="P97">
        <v>6</v>
      </c>
      <c r="Q97">
        <v>0</v>
      </c>
      <c r="R97">
        <v>13</v>
      </c>
      <c r="S97">
        <v>1</v>
      </c>
      <c r="T97">
        <v>0</v>
      </c>
      <c r="U97">
        <v>1</v>
      </c>
      <c r="V97">
        <v>1</v>
      </c>
      <c r="W97">
        <v>8</v>
      </c>
      <c r="X97">
        <v>0</v>
      </c>
      <c r="Y97">
        <v>12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3:34" x14ac:dyDescent="0.25">
      <c r="C98">
        <v>0</v>
      </c>
      <c r="D98">
        <v>5</v>
      </c>
      <c r="E98">
        <v>2</v>
      </c>
      <c r="F98">
        <v>5</v>
      </c>
      <c r="G98">
        <v>2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2</v>
      </c>
      <c r="O98">
        <v>1</v>
      </c>
      <c r="P98">
        <v>4</v>
      </c>
      <c r="Q98">
        <v>0</v>
      </c>
      <c r="R98">
        <v>12</v>
      </c>
      <c r="S98">
        <v>0</v>
      </c>
      <c r="T98">
        <v>1</v>
      </c>
      <c r="U98">
        <v>1</v>
      </c>
      <c r="V98">
        <v>2</v>
      </c>
      <c r="W98">
        <v>0</v>
      </c>
      <c r="X98">
        <v>7</v>
      </c>
      <c r="Y98">
        <v>3</v>
      </c>
      <c r="Z98">
        <v>19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8</v>
      </c>
      <c r="AH98">
        <v>0</v>
      </c>
    </row>
    <row r="99" spans="3:34" x14ac:dyDescent="0.25">
      <c r="C99">
        <v>0</v>
      </c>
      <c r="D99">
        <v>6</v>
      </c>
      <c r="E99">
        <v>7</v>
      </c>
      <c r="F99">
        <v>6</v>
      </c>
      <c r="G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25</v>
      </c>
      <c r="T99">
        <v>198</v>
      </c>
      <c r="U99">
        <v>42</v>
      </c>
      <c r="V99">
        <v>0</v>
      </c>
      <c r="W99">
        <v>3</v>
      </c>
      <c r="X99">
        <v>0</v>
      </c>
      <c r="Y99">
        <v>0</v>
      </c>
      <c r="Z99">
        <v>0</v>
      </c>
      <c r="AA99">
        <v>602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3:34" x14ac:dyDescent="0.25">
      <c r="C100">
        <v>0</v>
      </c>
      <c r="D100">
        <v>2</v>
      </c>
      <c r="E100">
        <v>3</v>
      </c>
      <c r="F100">
        <v>2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0</v>
      </c>
      <c r="U100">
        <v>40</v>
      </c>
      <c r="V100">
        <v>71</v>
      </c>
      <c r="W100">
        <v>3</v>
      </c>
      <c r="X100">
        <v>14</v>
      </c>
      <c r="Y100">
        <v>5</v>
      </c>
      <c r="Z100">
        <v>0</v>
      </c>
      <c r="AA100">
        <v>0</v>
      </c>
      <c r="AB100">
        <v>272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</row>
    <row r="101" spans="3:34" x14ac:dyDescent="0.25">
      <c r="C101">
        <v>0</v>
      </c>
      <c r="D101">
        <v>7</v>
      </c>
      <c r="E101">
        <v>2</v>
      </c>
      <c r="F101">
        <v>7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21</v>
      </c>
      <c r="U101">
        <v>15</v>
      </c>
      <c r="V101">
        <v>34</v>
      </c>
      <c r="W101">
        <v>11</v>
      </c>
      <c r="X101">
        <v>7</v>
      </c>
      <c r="Y101">
        <v>0</v>
      </c>
      <c r="Z101">
        <v>0</v>
      </c>
      <c r="AA101">
        <v>3</v>
      </c>
      <c r="AB101">
        <v>1</v>
      </c>
      <c r="AC101">
        <v>132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3:34" x14ac:dyDescent="0.25">
      <c r="C102">
        <v>0</v>
      </c>
      <c r="D102">
        <v>6</v>
      </c>
      <c r="E102">
        <v>7</v>
      </c>
      <c r="F102">
        <v>6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0</v>
      </c>
      <c r="U102">
        <v>2</v>
      </c>
      <c r="V102">
        <v>8</v>
      </c>
      <c r="W102">
        <v>1</v>
      </c>
      <c r="X102">
        <v>5</v>
      </c>
      <c r="Y102">
        <v>11</v>
      </c>
      <c r="Z102">
        <v>19</v>
      </c>
      <c r="AA102">
        <v>1</v>
      </c>
      <c r="AB102">
        <v>0</v>
      </c>
      <c r="AC102">
        <v>0</v>
      </c>
      <c r="AD102">
        <v>128</v>
      </c>
      <c r="AE102">
        <v>0</v>
      </c>
      <c r="AF102">
        <v>1</v>
      </c>
      <c r="AG102">
        <v>0</v>
      </c>
      <c r="AH102">
        <v>0</v>
      </c>
    </row>
    <row r="103" spans="3:34" x14ac:dyDescent="0.25">
      <c r="C103">
        <v>0</v>
      </c>
      <c r="D103">
        <v>1</v>
      </c>
      <c r="E103">
        <v>3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</v>
      </c>
      <c r="U103">
        <v>3</v>
      </c>
      <c r="V103">
        <v>0</v>
      </c>
      <c r="W103">
        <v>0</v>
      </c>
      <c r="X103">
        <v>19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62</v>
      </c>
      <c r="AF103">
        <v>0</v>
      </c>
      <c r="AG103">
        <v>0</v>
      </c>
      <c r="AH103">
        <v>0</v>
      </c>
    </row>
    <row r="104" spans="3:34" x14ac:dyDescent="0.25">
      <c r="C104">
        <v>0</v>
      </c>
      <c r="D104">
        <v>2</v>
      </c>
      <c r="E104">
        <v>11</v>
      </c>
      <c r="F104">
        <v>2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4</v>
      </c>
      <c r="V104">
        <v>16</v>
      </c>
      <c r="W104">
        <v>0</v>
      </c>
      <c r="X104">
        <v>5</v>
      </c>
      <c r="Y104">
        <v>6</v>
      </c>
      <c r="Z104">
        <v>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51</v>
      </c>
      <c r="AG104">
        <v>0</v>
      </c>
      <c r="AH104">
        <v>0</v>
      </c>
    </row>
    <row r="105" spans="3:34" x14ac:dyDescent="0.25">
      <c r="C105">
        <v>0</v>
      </c>
      <c r="D105">
        <v>5</v>
      </c>
      <c r="E105">
        <v>7</v>
      </c>
      <c r="F105">
        <v>5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2</v>
      </c>
      <c r="U105">
        <v>1</v>
      </c>
      <c r="V105">
        <v>0</v>
      </c>
      <c r="W105">
        <v>0</v>
      </c>
      <c r="X105">
        <v>2</v>
      </c>
      <c r="Y105">
        <v>0</v>
      </c>
      <c r="Z105">
        <v>11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37</v>
      </c>
      <c r="AH105">
        <v>0</v>
      </c>
    </row>
    <row r="106" spans="3:34" x14ac:dyDescent="0.25">
      <c r="C106">
        <v>0</v>
      </c>
      <c r="D106">
        <v>2</v>
      </c>
      <c r="E106">
        <v>5</v>
      </c>
      <c r="F106">
        <v>2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0</v>
      </c>
      <c r="X106">
        <v>1</v>
      </c>
      <c r="Y106">
        <v>4</v>
      </c>
      <c r="Z106">
        <v>8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42</v>
      </c>
    </row>
    <row r="107" spans="3:34" x14ac:dyDescent="0.25">
      <c r="C107">
        <v>0</v>
      </c>
      <c r="D107">
        <v>5</v>
      </c>
      <c r="E107">
        <v>8</v>
      </c>
      <c r="F107">
        <v>5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3:34" x14ac:dyDescent="0.25">
      <c r="C108">
        <v>0</v>
      </c>
      <c r="D108">
        <v>3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3:34" x14ac:dyDescent="0.25">
      <c r="C109">
        <v>0</v>
      </c>
      <c r="D109">
        <v>3</v>
      </c>
      <c r="E109">
        <v>2</v>
      </c>
      <c r="F109">
        <v>3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3:34" x14ac:dyDescent="0.25">
      <c r="C110">
        <v>0</v>
      </c>
      <c r="D110">
        <v>5</v>
      </c>
      <c r="E110">
        <v>3</v>
      </c>
      <c r="F110">
        <v>5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3:34" x14ac:dyDescent="0.25">
      <c r="C111">
        <v>0</v>
      </c>
      <c r="D111">
        <v>9</v>
      </c>
      <c r="E111">
        <v>3</v>
      </c>
      <c r="F111">
        <v>9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3:34" x14ac:dyDescent="0.25">
      <c r="C112">
        <v>0</v>
      </c>
      <c r="D112">
        <v>4</v>
      </c>
      <c r="E112">
        <v>6</v>
      </c>
      <c r="F112">
        <v>4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3:34" x14ac:dyDescent="0.25">
      <c r="C113">
        <v>0</v>
      </c>
      <c r="D113">
        <v>3</v>
      </c>
      <c r="E113">
        <v>6</v>
      </c>
      <c r="F113">
        <v>3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3:34" x14ac:dyDescent="0.25">
      <c r="C114">
        <v>0</v>
      </c>
      <c r="D114">
        <v>5</v>
      </c>
      <c r="E114">
        <v>3</v>
      </c>
      <c r="F114">
        <v>5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3:34" x14ac:dyDescent="0.25">
      <c r="C115" t="s">
        <v>30</v>
      </c>
      <c r="D115">
        <v>7</v>
      </c>
      <c r="E115">
        <v>15</v>
      </c>
      <c r="F115">
        <v>7</v>
      </c>
      <c r="G115">
        <v>15</v>
      </c>
    </row>
    <row r="116" spans="3:34" x14ac:dyDescent="0.25">
      <c r="C116" t="s">
        <v>31</v>
      </c>
      <c r="D116">
        <v>3</v>
      </c>
      <c r="E116">
        <v>2</v>
      </c>
      <c r="F116">
        <v>3</v>
      </c>
      <c r="G116">
        <v>2</v>
      </c>
    </row>
    <row r="117" spans="3:34" x14ac:dyDescent="0.25">
      <c r="C117" t="s">
        <v>32</v>
      </c>
      <c r="D117">
        <v>3</v>
      </c>
      <c r="E117">
        <v>1</v>
      </c>
      <c r="F117">
        <v>3</v>
      </c>
      <c r="G117">
        <v>1</v>
      </c>
    </row>
    <row r="118" spans="3:34" x14ac:dyDescent="0.25">
      <c r="C118" t="s">
        <v>33</v>
      </c>
      <c r="D118">
        <v>2</v>
      </c>
      <c r="E118">
        <v>4</v>
      </c>
      <c r="F118">
        <v>2</v>
      </c>
      <c r="G118">
        <v>4</v>
      </c>
    </row>
    <row r="119" spans="3:34" x14ac:dyDescent="0.25">
      <c r="C119" t="s">
        <v>34</v>
      </c>
      <c r="D119">
        <v>3</v>
      </c>
      <c r="E119">
        <v>4</v>
      </c>
      <c r="F119">
        <v>3</v>
      </c>
      <c r="G119">
        <v>4</v>
      </c>
    </row>
    <row r="120" spans="3:34" x14ac:dyDescent="0.25">
      <c r="C120" t="s">
        <v>35</v>
      </c>
      <c r="D120">
        <v>4</v>
      </c>
      <c r="E120">
        <v>2</v>
      </c>
      <c r="F120">
        <v>4</v>
      </c>
      <c r="G120">
        <v>2</v>
      </c>
    </row>
    <row r="121" spans="3:34" x14ac:dyDescent="0.25">
      <c r="C121" t="s">
        <v>36</v>
      </c>
      <c r="D121">
        <v>3</v>
      </c>
      <c r="E121">
        <v>11</v>
      </c>
      <c r="F121">
        <v>3</v>
      </c>
      <c r="G121">
        <v>11</v>
      </c>
    </row>
    <row r="122" spans="3:34" x14ac:dyDescent="0.25">
      <c r="C122" t="s">
        <v>37</v>
      </c>
      <c r="D122">
        <v>6</v>
      </c>
      <c r="E122">
        <v>4</v>
      </c>
      <c r="F122">
        <v>6</v>
      </c>
      <c r="G122">
        <v>4</v>
      </c>
    </row>
    <row r="123" spans="3:34" x14ac:dyDescent="0.25">
      <c r="C123" t="s">
        <v>38</v>
      </c>
      <c r="D123">
        <v>1</v>
      </c>
      <c r="E123">
        <v>2</v>
      </c>
      <c r="F123">
        <v>1</v>
      </c>
      <c r="G123">
        <v>2</v>
      </c>
    </row>
    <row r="124" spans="3:34" x14ac:dyDescent="0.25">
      <c r="C124" t="s">
        <v>39</v>
      </c>
      <c r="D124">
        <v>3</v>
      </c>
      <c r="E124">
        <v>1</v>
      </c>
      <c r="F124">
        <v>3</v>
      </c>
      <c r="G124">
        <v>1</v>
      </c>
    </row>
    <row r="125" spans="3:34" x14ac:dyDescent="0.25">
      <c r="C125" t="s">
        <v>40</v>
      </c>
      <c r="D125">
        <v>8</v>
      </c>
      <c r="E125">
        <v>4</v>
      </c>
      <c r="F125">
        <v>8</v>
      </c>
      <c r="G125">
        <v>4</v>
      </c>
    </row>
    <row r="126" spans="3:34" x14ac:dyDescent="0.25">
      <c r="C126" t="s">
        <v>41</v>
      </c>
      <c r="D126">
        <v>0</v>
      </c>
      <c r="E126">
        <v>5</v>
      </c>
      <c r="F126">
        <v>0</v>
      </c>
      <c r="G126">
        <v>5</v>
      </c>
    </row>
    <row r="127" spans="3:34" x14ac:dyDescent="0.25">
      <c r="C127" t="s">
        <v>42</v>
      </c>
      <c r="D127">
        <v>5</v>
      </c>
      <c r="E127">
        <v>4</v>
      </c>
      <c r="F127">
        <v>5</v>
      </c>
      <c r="G127">
        <v>4</v>
      </c>
    </row>
    <row r="128" spans="3:34" x14ac:dyDescent="0.25">
      <c r="C128" t="s">
        <v>43</v>
      </c>
      <c r="D128">
        <v>4</v>
      </c>
      <c r="E128">
        <v>1</v>
      </c>
      <c r="F128">
        <v>4</v>
      </c>
      <c r="G128">
        <v>1</v>
      </c>
    </row>
    <row r="129" spans="3:7" x14ac:dyDescent="0.25">
      <c r="C129" t="s">
        <v>44</v>
      </c>
      <c r="D129">
        <v>0</v>
      </c>
      <c r="E129">
        <v>2</v>
      </c>
      <c r="F129">
        <v>0</v>
      </c>
      <c r="G129">
        <v>2</v>
      </c>
    </row>
    <row r="130" spans="3:7" x14ac:dyDescent="0.25">
      <c r="C130" t="s">
        <v>45</v>
      </c>
      <c r="D130">
        <v>2</v>
      </c>
      <c r="E130">
        <v>4</v>
      </c>
      <c r="F130">
        <v>2</v>
      </c>
      <c r="G130">
        <v>4</v>
      </c>
    </row>
    <row r="131" spans="3:7" x14ac:dyDescent="0.25">
      <c r="C131" t="s">
        <v>46</v>
      </c>
      <c r="D131">
        <v>1</v>
      </c>
      <c r="E131">
        <v>8</v>
      </c>
      <c r="F131">
        <v>1</v>
      </c>
      <c r="G131">
        <v>8</v>
      </c>
    </row>
    <row r="132" spans="3:7" x14ac:dyDescent="0.25">
      <c r="C132" t="s">
        <v>47</v>
      </c>
      <c r="D132">
        <v>3</v>
      </c>
      <c r="E132">
        <v>4</v>
      </c>
      <c r="F132">
        <v>3</v>
      </c>
      <c r="G132">
        <v>4</v>
      </c>
    </row>
    <row r="133" spans="3:7" x14ac:dyDescent="0.25">
      <c r="C133" t="s">
        <v>48</v>
      </c>
      <c r="D133">
        <v>3</v>
      </c>
      <c r="E133">
        <v>6</v>
      </c>
      <c r="F133">
        <v>3</v>
      </c>
      <c r="G133">
        <v>6</v>
      </c>
    </row>
    <row r="134" spans="3:7" x14ac:dyDescent="0.25">
      <c r="C134" t="s">
        <v>49</v>
      </c>
      <c r="D134">
        <v>4</v>
      </c>
      <c r="E134">
        <v>5</v>
      </c>
      <c r="F134">
        <v>4</v>
      </c>
      <c r="G134">
        <v>5</v>
      </c>
    </row>
    <row r="135" spans="3:7" x14ac:dyDescent="0.25">
      <c r="C135" t="s">
        <v>50</v>
      </c>
      <c r="D135">
        <v>9</v>
      </c>
      <c r="E135">
        <v>2</v>
      </c>
      <c r="F135">
        <v>9</v>
      </c>
      <c r="G135">
        <v>2</v>
      </c>
    </row>
    <row r="136" spans="3:7" x14ac:dyDescent="0.25">
      <c r="C136" t="s">
        <v>51</v>
      </c>
      <c r="D136">
        <v>1</v>
      </c>
      <c r="E136">
        <v>3</v>
      </c>
      <c r="F136">
        <v>1</v>
      </c>
      <c r="G136">
        <v>3</v>
      </c>
    </row>
    <row r="137" spans="3:7" x14ac:dyDescent="0.25">
      <c r="C137" t="s">
        <v>52</v>
      </c>
      <c r="D137">
        <v>2</v>
      </c>
      <c r="E137">
        <v>5</v>
      </c>
      <c r="F137">
        <v>2</v>
      </c>
      <c r="G137">
        <v>5</v>
      </c>
    </row>
    <row r="138" spans="3:7" x14ac:dyDescent="0.25">
      <c r="C138" t="s">
        <v>53</v>
      </c>
      <c r="D138">
        <v>3</v>
      </c>
      <c r="E138">
        <v>7</v>
      </c>
      <c r="F138">
        <v>3</v>
      </c>
      <c r="G138">
        <v>7</v>
      </c>
    </row>
    <row r="139" spans="3:7" x14ac:dyDescent="0.25">
      <c r="C139" t="s">
        <v>54</v>
      </c>
      <c r="D139">
        <v>8</v>
      </c>
      <c r="E139">
        <v>7</v>
      </c>
      <c r="F139">
        <v>8</v>
      </c>
      <c r="G139">
        <v>7</v>
      </c>
    </row>
    <row r="140" spans="3:7" x14ac:dyDescent="0.25">
      <c r="C140" t="s">
        <v>55</v>
      </c>
      <c r="D140">
        <v>3</v>
      </c>
      <c r="E140">
        <v>6</v>
      </c>
      <c r="F140">
        <v>3</v>
      </c>
      <c r="G140">
        <v>6</v>
      </c>
    </row>
    <row r="141" spans="3:7" x14ac:dyDescent="0.25">
      <c r="C141" t="s">
        <v>56</v>
      </c>
      <c r="D141">
        <v>7</v>
      </c>
      <c r="E141">
        <v>2</v>
      </c>
      <c r="F141">
        <v>7</v>
      </c>
      <c r="G141">
        <v>2</v>
      </c>
    </row>
    <row r="142" spans="3:7" x14ac:dyDescent="0.25">
      <c r="C142" t="s">
        <v>57</v>
      </c>
      <c r="D142">
        <v>3</v>
      </c>
      <c r="E142">
        <v>7</v>
      </c>
      <c r="F142">
        <v>3</v>
      </c>
      <c r="G142">
        <v>7</v>
      </c>
    </row>
    <row r="143" spans="3:7" x14ac:dyDescent="0.25">
      <c r="C143" t="s">
        <v>58</v>
      </c>
      <c r="D143">
        <v>4</v>
      </c>
      <c r="E143">
        <v>7</v>
      </c>
      <c r="F143">
        <v>4</v>
      </c>
      <c r="G143">
        <v>7</v>
      </c>
    </row>
    <row r="144" spans="3:7" x14ac:dyDescent="0.25">
      <c r="C144" t="s">
        <v>59</v>
      </c>
      <c r="D144">
        <v>4</v>
      </c>
      <c r="E144">
        <v>3</v>
      </c>
      <c r="F144">
        <v>4</v>
      </c>
      <c r="G144">
        <v>3</v>
      </c>
    </row>
    <row r="145" spans="3:34" x14ac:dyDescent="0.25">
      <c r="C145" t="s">
        <v>60</v>
      </c>
      <c r="D145">
        <v>3</v>
      </c>
      <c r="E145">
        <v>9</v>
      </c>
      <c r="F145">
        <v>3</v>
      </c>
      <c r="G145">
        <v>9</v>
      </c>
    </row>
    <row r="146" spans="3:34" x14ac:dyDescent="0.25">
      <c r="C146" t="s">
        <v>61</v>
      </c>
      <c r="D146">
        <v>8</v>
      </c>
      <c r="E146">
        <v>2</v>
      </c>
      <c r="F146">
        <v>8</v>
      </c>
      <c r="G146">
        <v>2</v>
      </c>
    </row>
    <row r="147" spans="3:34" x14ac:dyDescent="0.25">
      <c r="C147" t="s">
        <v>62</v>
      </c>
      <c r="D147">
        <v>3</v>
      </c>
      <c r="E147">
        <v>2</v>
      </c>
      <c r="F147">
        <v>3</v>
      </c>
      <c r="G147">
        <v>2</v>
      </c>
    </row>
    <row r="148" spans="3:34" x14ac:dyDescent="0.25">
      <c r="C148">
        <v>1</v>
      </c>
      <c r="D148">
        <v>3</v>
      </c>
      <c r="E148">
        <v>2</v>
      </c>
      <c r="F148">
        <v>3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3:34" x14ac:dyDescent="0.25">
      <c r="C149">
        <v>0</v>
      </c>
      <c r="D149">
        <v>2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3:34" x14ac:dyDescent="0.25">
      <c r="C150">
        <v>0</v>
      </c>
      <c r="D150">
        <v>10</v>
      </c>
      <c r="E150">
        <v>1</v>
      </c>
      <c r="F150">
        <v>10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3:34" x14ac:dyDescent="0.25">
      <c r="C151">
        <v>0</v>
      </c>
      <c r="D151">
        <v>0</v>
      </c>
      <c r="E151">
        <v>3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3:34" x14ac:dyDescent="0.25">
      <c r="C152">
        <v>0</v>
      </c>
      <c r="D152">
        <v>1</v>
      </c>
      <c r="E152">
        <v>4</v>
      </c>
      <c r="F152">
        <v>1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3:34" x14ac:dyDescent="0.25">
      <c r="C153">
        <v>0</v>
      </c>
      <c r="D153">
        <v>4</v>
      </c>
      <c r="E153">
        <v>3</v>
      </c>
      <c r="F153">
        <v>4</v>
      </c>
      <c r="G153">
        <v>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3:34" x14ac:dyDescent="0.25">
      <c r="C154">
        <v>0</v>
      </c>
      <c r="D154">
        <v>4</v>
      </c>
      <c r="E154">
        <v>3</v>
      </c>
      <c r="F154">
        <v>4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3:34" x14ac:dyDescent="0.25">
      <c r="C155">
        <v>0</v>
      </c>
      <c r="D155">
        <v>3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3:34" x14ac:dyDescent="0.25">
      <c r="C156">
        <v>0</v>
      </c>
      <c r="D156">
        <v>7</v>
      </c>
      <c r="E156">
        <v>5</v>
      </c>
      <c r="F156">
        <v>7</v>
      </c>
      <c r="G156">
        <v>5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3:34" x14ac:dyDescent="0.25">
      <c r="C157">
        <v>0</v>
      </c>
      <c r="D157">
        <v>6</v>
      </c>
      <c r="E157">
        <v>1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3:34" x14ac:dyDescent="0.25">
      <c r="C158">
        <v>0</v>
      </c>
      <c r="D158">
        <v>4</v>
      </c>
      <c r="E158">
        <v>7</v>
      </c>
      <c r="F158">
        <v>4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3:34" x14ac:dyDescent="0.25">
      <c r="C159">
        <v>0</v>
      </c>
      <c r="D159">
        <v>4</v>
      </c>
      <c r="E159">
        <v>1</v>
      </c>
      <c r="F159">
        <v>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3:34" x14ac:dyDescent="0.25">
      <c r="C160">
        <v>0</v>
      </c>
      <c r="D160">
        <v>3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3:34" x14ac:dyDescent="0.25">
      <c r="C161">
        <v>0</v>
      </c>
      <c r="D161">
        <v>6</v>
      </c>
      <c r="E161">
        <v>4</v>
      </c>
      <c r="F161">
        <v>6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3:34" x14ac:dyDescent="0.25">
      <c r="C162">
        <v>0</v>
      </c>
      <c r="D162">
        <v>2</v>
      </c>
      <c r="E162">
        <v>3</v>
      </c>
      <c r="F162">
        <v>2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3:34" x14ac:dyDescent="0.25">
      <c r="C163">
        <v>0</v>
      </c>
      <c r="D163">
        <v>3</v>
      </c>
      <c r="E163">
        <v>1</v>
      </c>
      <c r="F163">
        <v>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3:34" x14ac:dyDescent="0.25"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3:34" x14ac:dyDescent="0.25"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3:34" x14ac:dyDescent="0.25"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3:34" x14ac:dyDescent="0.25"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3:34" x14ac:dyDescent="0.25"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3:34" x14ac:dyDescent="0.25"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3:34" x14ac:dyDescent="0.25"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3:34" x14ac:dyDescent="0.25"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3:34" x14ac:dyDescent="0.25"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3:34" x14ac:dyDescent="0.25"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3:34" x14ac:dyDescent="0.25"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3:34" x14ac:dyDescent="0.25"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</row>
    <row r="176" spans="3:34" x14ac:dyDescent="0.25"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</row>
    <row r="177" spans="3:34" x14ac:dyDescent="0.25"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</row>
    <row r="178" spans="3:34" x14ac:dyDescent="0.25"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</row>
    <row r="179" spans="3:34" x14ac:dyDescent="0.25"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</row>
    <row r="180" spans="3:34" x14ac:dyDescent="0.25">
      <c r="C180" t="s">
        <v>30</v>
      </c>
      <c r="D180">
        <v>0.54600000000000004</v>
      </c>
    </row>
    <row r="181" spans="3:34" x14ac:dyDescent="0.25">
      <c r="C181" t="s">
        <v>31</v>
      </c>
      <c r="D181">
        <v>0.98199999999999998</v>
      </c>
    </row>
    <row r="182" spans="3:34" x14ac:dyDescent="0.25">
      <c r="C182" t="s">
        <v>32</v>
      </c>
      <c r="D182">
        <v>1.2310000000000001</v>
      </c>
    </row>
    <row r="183" spans="3:34" x14ac:dyDescent="0.25">
      <c r="C183" t="s">
        <v>33</v>
      </c>
      <c r="D183">
        <v>1.38</v>
      </c>
    </row>
    <row r="184" spans="3:34" x14ac:dyDescent="0.25">
      <c r="C184" t="s">
        <v>34</v>
      </c>
      <c r="D184">
        <v>1.302</v>
      </c>
    </row>
    <row r="185" spans="3:34" x14ac:dyDescent="0.25">
      <c r="C185" t="s">
        <v>35</v>
      </c>
      <c r="D185">
        <v>1.7729999999999999</v>
      </c>
    </row>
    <row r="186" spans="3:34" x14ac:dyDescent="0.25">
      <c r="C186" t="s">
        <v>36</v>
      </c>
      <c r="D186">
        <v>1.9890000000000001</v>
      </c>
    </row>
    <row r="187" spans="3:34" x14ac:dyDescent="0.25">
      <c r="C187" t="s">
        <v>37</v>
      </c>
      <c r="D187">
        <v>2.3639999999999999</v>
      </c>
    </row>
    <row r="188" spans="3:34" x14ac:dyDescent="0.25">
      <c r="C188" t="s">
        <v>38</v>
      </c>
      <c r="D188">
        <v>0.31</v>
      </c>
    </row>
    <row r="189" spans="3:34" x14ac:dyDescent="0.25">
      <c r="C189" t="s">
        <v>39</v>
      </c>
      <c r="D189">
        <v>0.69</v>
      </c>
    </row>
    <row r="190" spans="3:34" x14ac:dyDescent="0.25">
      <c r="C190" t="s">
        <v>40</v>
      </c>
      <c r="D190">
        <v>0.77600000000000002</v>
      </c>
    </row>
    <row r="191" spans="3:34" x14ac:dyDescent="0.25">
      <c r="C191" t="s">
        <v>41</v>
      </c>
      <c r="D191">
        <v>1.026</v>
      </c>
    </row>
    <row r="192" spans="3:34" x14ac:dyDescent="0.25">
      <c r="C192" t="s">
        <v>42</v>
      </c>
      <c r="D192">
        <v>0.98299999999999998</v>
      </c>
    </row>
    <row r="193" spans="3:4" x14ac:dyDescent="0.25">
      <c r="C193" t="s">
        <v>43</v>
      </c>
      <c r="D193">
        <v>1.208</v>
      </c>
    </row>
    <row r="194" spans="3:4" x14ac:dyDescent="0.25">
      <c r="C194" t="s">
        <v>44</v>
      </c>
      <c r="D194">
        <v>1.486</v>
      </c>
    </row>
    <row r="195" spans="3:4" x14ac:dyDescent="0.25">
      <c r="C195" t="s">
        <v>45</v>
      </c>
      <c r="D195">
        <v>1.5049999999999999</v>
      </c>
    </row>
    <row r="196" spans="3:4" x14ac:dyDescent="0.25">
      <c r="C196" t="s">
        <v>46</v>
      </c>
      <c r="D196">
        <v>0.113</v>
      </c>
    </row>
    <row r="197" spans="3:4" x14ac:dyDescent="0.25">
      <c r="C197" t="s">
        <v>47</v>
      </c>
      <c r="D197">
        <v>0.26800000000000002</v>
      </c>
    </row>
    <row r="198" spans="3:4" x14ac:dyDescent="0.25">
      <c r="C198" t="s">
        <v>48</v>
      </c>
      <c r="D198">
        <v>0.38800000000000001</v>
      </c>
    </row>
    <row r="199" spans="3:4" x14ac:dyDescent="0.25">
      <c r="C199" t="s">
        <v>49</v>
      </c>
      <c r="D199">
        <v>0.36199999999999999</v>
      </c>
    </row>
    <row r="200" spans="3:4" x14ac:dyDescent="0.25">
      <c r="C200" t="s">
        <v>50</v>
      </c>
      <c r="D200">
        <v>0.34200000000000003</v>
      </c>
    </row>
    <row r="201" spans="3:4" x14ac:dyDescent="0.25">
      <c r="C201" t="s">
        <v>51</v>
      </c>
      <c r="D201">
        <v>0.61299999999999999</v>
      </c>
    </row>
    <row r="202" spans="3:4" x14ac:dyDescent="0.25">
      <c r="C202" t="s">
        <v>52</v>
      </c>
      <c r="D202">
        <v>0.371</v>
      </c>
    </row>
    <row r="203" spans="3:4" x14ac:dyDescent="0.25">
      <c r="C203" t="s">
        <v>53</v>
      </c>
      <c r="D203">
        <v>0.64700000000000002</v>
      </c>
    </row>
    <row r="204" spans="3:4" x14ac:dyDescent="0.25">
      <c r="C204" t="s">
        <v>54</v>
      </c>
      <c r="D204">
        <v>0</v>
      </c>
    </row>
    <row r="205" spans="3:4" x14ac:dyDescent="0.25">
      <c r="C205" t="s">
        <v>55</v>
      </c>
      <c r="D205">
        <v>0</v>
      </c>
    </row>
    <row r="206" spans="3:4" x14ac:dyDescent="0.25">
      <c r="C206" t="s">
        <v>56</v>
      </c>
      <c r="D206">
        <v>0</v>
      </c>
    </row>
    <row r="207" spans="3:4" x14ac:dyDescent="0.25">
      <c r="C207" t="s">
        <v>57</v>
      </c>
      <c r="D207">
        <v>0</v>
      </c>
    </row>
    <row r="208" spans="3:4" x14ac:dyDescent="0.25">
      <c r="C208" t="s">
        <v>58</v>
      </c>
      <c r="D208">
        <v>0</v>
      </c>
    </row>
    <row r="209" spans="3:4" x14ac:dyDescent="0.25">
      <c r="C209" t="s">
        <v>59</v>
      </c>
      <c r="D209">
        <v>0</v>
      </c>
    </row>
    <row r="210" spans="3:4" x14ac:dyDescent="0.25">
      <c r="C210" t="s">
        <v>60</v>
      </c>
      <c r="D210">
        <v>0</v>
      </c>
    </row>
    <row r="211" spans="3:4" x14ac:dyDescent="0.25">
      <c r="C211" t="s">
        <v>61</v>
      </c>
      <c r="D211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workbookViewId="0">
      <selection activeCell="A26" sqref="A26"/>
    </sheetView>
  </sheetViews>
  <sheetFormatPr defaultRowHeight="15" x14ac:dyDescent="0.25"/>
  <cols>
    <col min="1" max="1" width="10.28515625" bestFit="1" customWidth="1"/>
    <col min="2" max="2" width="9.42578125" hidden="1" customWidth="1"/>
    <col min="3" max="3" width="10.28515625" hidden="1" customWidth="1"/>
    <col min="4" max="7" width="0" hidden="1" customWidth="1"/>
  </cols>
  <sheetData>
    <row r="1" spans="1:8" x14ac:dyDescent="0.25">
      <c r="A1" t="s">
        <v>691</v>
      </c>
      <c r="B1" t="s">
        <v>692</v>
      </c>
      <c r="C1" t="s">
        <v>693</v>
      </c>
      <c r="H1">
        <f ca="1">SUM(H2:H302)</f>
        <v>-39</v>
      </c>
    </row>
    <row r="2" spans="1:8" x14ac:dyDescent="0.25">
      <c r="A2" s="8">
        <v>1</v>
      </c>
      <c r="B2" s="8">
        <v>0</v>
      </c>
      <c r="C2" s="8">
        <v>1239</v>
      </c>
      <c r="D2" s="9">
        <f t="shared" ref="D2:D10" ca="1" si="0">INDIRECT("'2011'!"&amp;ADDRESS(A2+2,B2+1))</f>
        <v>1227</v>
      </c>
      <c r="E2">
        <f ca="1">C2-D2</f>
        <v>12</v>
      </c>
      <c r="F2" s="9">
        <f ca="1">-INDIRECT("'2011'!"&amp;ADDRESS(A2+2,A2+1))</f>
        <v>45331</v>
      </c>
      <c r="G2">
        <f>SUM(C2:C6)</f>
        <v>45343</v>
      </c>
      <c r="H2">
        <f ca="1">F2-G2</f>
        <v>-12</v>
      </c>
    </row>
    <row r="3" spans="1:8" x14ac:dyDescent="0.25">
      <c r="A3" s="8">
        <v>1</v>
      </c>
      <c r="B3" s="8">
        <v>2</v>
      </c>
      <c r="C3" s="8">
        <v>10866</v>
      </c>
      <c r="D3" s="9">
        <f t="shared" ca="1" si="0"/>
        <v>10866</v>
      </c>
      <c r="E3">
        <f t="shared" ref="E3:E66" ca="1" si="1">C3-D3</f>
        <v>0</v>
      </c>
    </row>
    <row r="4" spans="1:8" x14ac:dyDescent="0.25">
      <c r="A4" s="8">
        <v>1</v>
      </c>
      <c r="B4" s="8">
        <v>4</v>
      </c>
      <c r="C4" s="8">
        <v>2266</v>
      </c>
      <c r="D4" s="9">
        <f t="shared" ca="1" si="0"/>
        <v>2266</v>
      </c>
      <c r="E4">
        <f t="shared" ca="1" si="1"/>
        <v>0</v>
      </c>
    </row>
    <row r="5" spans="1:8" x14ac:dyDescent="0.25">
      <c r="A5" s="8">
        <v>1</v>
      </c>
      <c r="B5" s="8">
        <v>8</v>
      </c>
      <c r="C5" s="8">
        <v>262</v>
      </c>
      <c r="D5" s="9">
        <f t="shared" ca="1" si="0"/>
        <v>262</v>
      </c>
      <c r="E5">
        <f t="shared" ca="1" si="1"/>
        <v>0</v>
      </c>
    </row>
    <row r="6" spans="1:8" x14ac:dyDescent="0.25">
      <c r="A6" s="8">
        <v>1</v>
      </c>
      <c r="B6" s="8">
        <v>16</v>
      </c>
      <c r="C6" s="8">
        <v>30710</v>
      </c>
      <c r="D6" s="9">
        <f t="shared" ca="1" si="0"/>
        <v>30710</v>
      </c>
      <c r="E6">
        <f t="shared" ca="1" si="1"/>
        <v>0</v>
      </c>
    </row>
    <row r="7" spans="1:8" x14ac:dyDescent="0.25">
      <c r="A7" s="7">
        <v>3</v>
      </c>
      <c r="B7" s="7">
        <v>0</v>
      </c>
      <c r="C7" s="7">
        <v>263</v>
      </c>
      <c r="D7">
        <f t="shared" ca="1" si="0"/>
        <v>262</v>
      </c>
      <c r="E7">
        <f t="shared" ca="1" si="1"/>
        <v>1</v>
      </c>
      <c r="F7" s="9">
        <f ca="1">-INDIRECT("'2011'!"&amp;ADDRESS(A7+2,A7+1))</f>
        <v>11139</v>
      </c>
      <c r="G7">
        <f>SUM(C7:C18)</f>
        <v>11144</v>
      </c>
      <c r="H7">
        <f ca="1">F7-G7</f>
        <v>-5</v>
      </c>
    </row>
    <row r="8" spans="1:8" x14ac:dyDescent="0.25">
      <c r="A8" s="7">
        <v>3</v>
      </c>
      <c r="B8" s="7">
        <v>2</v>
      </c>
      <c r="C8" s="7">
        <v>6</v>
      </c>
      <c r="D8">
        <f t="shared" ca="1" si="0"/>
        <v>1</v>
      </c>
      <c r="E8">
        <f t="shared" ca="1" si="1"/>
        <v>5</v>
      </c>
    </row>
    <row r="9" spans="1:8" x14ac:dyDescent="0.25">
      <c r="A9" s="7">
        <v>3</v>
      </c>
      <c r="B9" s="7">
        <v>4</v>
      </c>
      <c r="C9" s="7">
        <v>941</v>
      </c>
      <c r="D9">
        <f t="shared" ca="1" si="0"/>
        <v>148</v>
      </c>
      <c r="E9">
        <f t="shared" ca="1" si="1"/>
        <v>793</v>
      </c>
    </row>
    <row r="10" spans="1:8" x14ac:dyDescent="0.25">
      <c r="A10" s="7">
        <v>3</v>
      </c>
      <c r="B10" s="7">
        <v>6</v>
      </c>
      <c r="C10" s="7">
        <v>1866</v>
      </c>
      <c r="D10">
        <f t="shared" ca="1" si="0"/>
        <v>1866</v>
      </c>
      <c r="E10">
        <f t="shared" ca="1" si="1"/>
        <v>0</v>
      </c>
    </row>
    <row r="11" spans="1:8" x14ac:dyDescent="0.25">
      <c r="A11" s="7">
        <v>3</v>
      </c>
      <c r="B11" s="7">
        <v>8</v>
      </c>
      <c r="C11" s="7">
        <v>96</v>
      </c>
      <c r="D11">
        <f t="shared" ref="D11:D74" ca="1" si="2">INDIRECT("'2011'!"&amp;ADDRESS(A11+2,B11+1))</f>
        <v>49</v>
      </c>
      <c r="E11">
        <f t="shared" ca="1" si="1"/>
        <v>47</v>
      </c>
    </row>
    <row r="12" spans="1:8" x14ac:dyDescent="0.25">
      <c r="A12" s="7">
        <v>3</v>
      </c>
      <c r="B12" s="7">
        <v>10</v>
      </c>
      <c r="C12" s="7">
        <v>422</v>
      </c>
      <c r="D12">
        <f t="shared" ca="1" si="2"/>
        <v>422</v>
      </c>
      <c r="E12">
        <f t="shared" ca="1" si="1"/>
        <v>0</v>
      </c>
    </row>
    <row r="13" spans="1:8" x14ac:dyDescent="0.25">
      <c r="A13" s="7">
        <v>3</v>
      </c>
      <c r="B13" s="7">
        <v>12</v>
      </c>
      <c r="C13" s="7">
        <v>347</v>
      </c>
      <c r="D13">
        <f t="shared" ca="1" si="2"/>
        <v>347</v>
      </c>
      <c r="E13">
        <f t="shared" ca="1" si="1"/>
        <v>0</v>
      </c>
    </row>
    <row r="14" spans="1:8" x14ac:dyDescent="0.25">
      <c r="A14" s="7">
        <v>3</v>
      </c>
      <c r="B14" s="7">
        <v>16</v>
      </c>
      <c r="C14" s="7">
        <v>317</v>
      </c>
      <c r="D14">
        <f t="shared" ca="1" si="2"/>
        <v>4</v>
      </c>
      <c r="E14">
        <f t="shared" ca="1" si="1"/>
        <v>313</v>
      </c>
    </row>
    <row r="15" spans="1:8" x14ac:dyDescent="0.25">
      <c r="A15" s="7">
        <v>3</v>
      </c>
      <c r="B15" s="7">
        <v>18</v>
      </c>
      <c r="C15" s="7">
        <v>4394</v>
      </c>
      <c r="D15">
        <f t="shared" ca="1" si="2"/>
        <v>4394</v>
      </c>
      <c r="E15">
        <f t="shared" ca="1" si="1"/>
        <v>0</v>
      </c>
    </row>
    <row r="16" spans="1:8" x14ac:dyDescent="0.25">
      <c r="A16" s="7">
        <v>3</v>
      </c>
      <c r="B16" s="7">
        <v>20</v>
      </c>
      <c r="C16" s="7">
        <v>1325</v>
      </c>
      <c r="D16">
        <f t="shared" ca="1" si="2"/>
        <v>1325</v>
      </c>
      <c r="E16">
        <f t="shared" ca="1" si="1"/>
        <v>0</v>
      </c>
    </row>
    <row r="17" spans="1:8" x14ac:dyDescent="0.25">
      <c r="A17" s="7">
        <v>3</v>
      </c>
      <c r="B17" s="7">
        <v>24</v>
      </c>
      <c r="C17" s="7">
        <v>28</v>
      </c>
      <c r="D17">
        <f t="shared" ca="1" si="2"/>
        <v>28</v>
      </c>
      <c r="E17">
        <f t="shared" ca="1" si="1"/>
        <v>0</v>
      </c>
    </row>
    <row r="18" spans="1:8" x14ac:dyDescent="0.25">
      <c r="A18" s="7">
        <v>3</v>
      </c>
      <c r="B18" s="7">
        <v>32</v>
      </c>
      <c r="C18" s="7">
        <v>1139</v>
      </c>
      <c r="D18">
        <f t="shared" ca="1" si="2"/>
        <v>1139</v>
      </c>
      <c r="E18">
        <f t="shared" ca="1" si="1"/>
        <v>0</v>
      </c>
    </row>
    <row r="19" spans="1:8" x14ac:dyDescent="0.25">
      <c r="A19" s="8">
        <v>5</v>
      </c>
      <c r="B19" s="8">
        <v>0</v>
      </c>
      <c r="C19" s="8">
        <v>57</v>
      </c>
      <c r="D19" s="9">
        <f t="shared" ca="1" si="2"/>
        <v>57</v>
      </c>
      <c r="E19">
        <f t="shared" ca="1" si="1"/>
        <v>0</v>
      </c>
      <c r="F19" s="9">
        <f ca="1">-INDIRECT("'2011'!"&amp;ADDRESS(A19+2,A19+1))</f>
        <v>3501</v>
      </c>
      <c r="G19">
        <f>SUM(C19:C30)</f>
        <v>3501</v>
      </c>
      <c r="H19">
        <f ca="1">F19-G19</f>
        <v>0</v>
      </c>
    </row>
    <row r="20" spans="1:8" x14ac:dyDescent="0.25">
      <c r="A20" s="8">
        <v>5</v>
      </c>
      <c r="B20" s="8">
        <v>2</v>
      </c>
      <c r="C20" s="8">
        <v>162</v>
      </c>
      <c r="D20" s="9">
        <f t="shared" ca="1" si="2"/>
        <v>162</v>
      </c>
      <c r="E20">
        <f t="shared" ca="1" si="1"/>
        <v>0</v>
      </c>
    </row>
    <row r="21" spans="1:8" x14ac:dyDescent="0.25">
      <c r="A21" s="8">
        <v>5</v>
      </c>
      <c r="B21" s="8">
        <v>4</v>
      </c>
      <c r="C21" s="8">
        <v>185</v>
      </c>
      <c r="D21" s="9">
        <f t="shared" ca="1" si="2"/>
        <v>185</v>
      </c>
      <c r="E21">
        <f t="shared" ca="1" si="1"/>
        <v>0</v>
      </c>
    </row>
    <row r="22" spans="1:8" x14ac:dyDescent="0.25">
      <c r="A22" s="8">
        <v>5</v>
      </c>
      <c r="B22" s="8">
        <v>6</v>
      </c>
      <c r="C22" s="8">
        <v>373</v>
      </c>
      <c r="D22" s="9">
        <f t="shared" ca="1" si="2"/>
        <v>373</v>
      </c>
      <c r="E22">
        <f t="shared" ca="1" si="1"/>
        <v>0</v>
      </c>
    </row>
    <row r="23" spans="1:8" x14ac:dyDescent="0.25">
      <c r="A23" s="8">
        <v>5</v>
      </c>
      <c r="B23" s="8">
        <v>8</v>
      </c>
      <c r="C23" s="8">
        <v>96</v>
      </c>
      <c r="D23" s="9">
        <f t="shared" ca="1" si="2"/>
        <v>12</v>
      </c>
      <c r="E23">
        <f t="shared" ca="1" si="1"/>
        <v>84</v>
      </c>
    </row>
    <row r="24" spans="1:8" x14ac:dyDescent="0.25">
      <c r="A24" s="8">
        <v>5</v>
      </c>
      <c r="B24" s="8">
        <v>10</v>
      </c>
      <c r="C24" s="8">
        <v>306</v>
      </c>
      <c r="D24" s="9">
        <f t="shared" ca="1" si="2"/>
        <v>306</v>
      </c>
      <c r="E24">
        <f t="shared" ca="1" si="1"/>
        <v>0</v>
      </c>
    </row>
    <row r="25" spans="1:8" x14ac:dyDescent="0.25">
      <c r="A25" s="8">
        <v>5</v>
      </c>
      <c r="B25" s="8">
        <v>12</v>
      </c>
      <c r="C25" s="8">
        <v>10</v>
      </c>
      <c r="D25" s="9">
        <f t="shared" ca="1" si="2"/>
        <v>10</v>
      </c>
      <c r="E25">
        <f t="shared" ca="1" si="1"/>
        <v>0</v>
      </c>
    </row>
    <row r="26" spans="1:8" x14ac:dyDescent="0.25">
      <c r="A26" s="8">
        <v>5</v>
      </c>
      <c r="B26" s="8">
        <v>16</v>
      </c>
      <c r="C26" s="8">
        <v>26</v>
      </c>
      <c r="D26" s="9">
        <f t="shared" ca="1" si="2"/>
        <v>7</v>
      </c>
      <c r="E26">
        <f t="shared" ca="1" si="1"/>
        <v>19</v>
      </c>
    </row>
    <row r="27" spans="1:8" x14ac:dyDescent="0.25">
      <c r="A27" s="8">
        <v>5</v>
      </c>
      <c r="B27" s="8">
        <v>18</v>
      </c>
      <c r="C27" s="8">
        <v>51</v>
      </c>
      <c r="D27" s="9">
        <f t="shared" ca="1" si="2"/>
        <v>51</v>
      </c>
      <c r="E27">
        <f t="shared" ca="1" si="1"/>
        <v>0</v>
      </c>
    </row>
    <row r="28" spans="1:8" x14ac:dyDescent="0.25">
      <c r="A28" s="8">
        <v>5</v>
      </c>
      <c r="B28" s="8">
        <v>20</v>
      </c>
      <c r="C28" s="8">
        <v>1230</v>
      </c>
      <c r="D28" s="9">
        <f t="shared" ca="1" si="2"/>
        <v>1230</v>
      </c>
      <c r="E28">
        <f t="shared" ca="1" si="1"/>
        <v>0</v>
      </c>
    </row>
    <row r="29" spans="1:8" x14ac:dyDescent="0.25">
      <c r="A29" s="8">
        <v>5</v>
      </c>
      <c r="B29" s="8">
        <v>24</v>
      </c>
      <c r="C29" s="8">
        <v>987</v>
      </c>
      <c r="D29" s="9">
        <f t="shared" ca="1" si="2"/>
        <v>987</v>
      </c>
      <c r="E29">
        <f t="shared" ca="1" si="1"/>
        <v>0</v>
      </c>
    </row>
    <row r="30" spans="1:8" x14ac:dyDescent="0.25">
      <c r="A30" s="8">
        <v>5</v>
      </c>
      <c r="B30" s="8">
        <v>32</v>
      </c>
      <c r="C30" s="8">
        <v>18</v>
      </c>
      <c r="D30" s="9">
        <f t="shared" ca="1" si="2"/>
        <v>18</v>
      </c>
      <c r="E30">
        <f t="shared" ca="1" si="1"/>
        <v>0</v>
      </c>
    </row>
    <row r="31" spans="1:8" x14ac:dyDescent="0.25">
      <c r="A31" s="7">
        <v>7</v>
      </c>
      <c r="B31" s="7">
        <v>0</v>
      </c>
      <c r="C31" s="7">
        <v>60</v>
      </c>
      <c r="D31">
        <f t="shared" ca="1" si="2"/>
        <v>60</v>
      </c>
      <c r="E31">
        <f t="shared" ca="1" si="1"/>
        <v>0</v>
      </c>
      <c r="F31" s="9">
        <f ca="1">-INDIRECT("'2011'!"&amp;ADDRESS(A31+2,A31+1))</f>
        <v>2487</v>
      </c>
      <c r="G31">
        <f>SUM(C31:C49)</f>
        <v>2488</v>
      </c>
      <c r="H31">
        <f ca="1">F31-G31</f>
        <v>-1</v>
      </c>
    </row>
    <row r="32" spans="1:8" x14ac:dyDescent="0.25">
      <c r="A32" s="7">
        <v>7</v>
      </c>
      <c r="B32" s="7">
        <v>4</v>
      </c>
      <c r="C32" s="7">
        <v>32</v>
      </c>
      <c r="D32">
        <f t="shared" ca="1" si="2"/>
        <v>32</v>
      </c>
      <c r="E32">
        <f t="shared" ca="1" si="1"/>
        <v>0</v>
      </c>
    </row>
    <row r="33" spans="1:5" x14ac:dyDescent="0.25">
      <c r="A33" s="7">
        <v>7</v>
      </c>
      <c r="B33" s="7">
        <v>6</v>
      </c>
      <c r="C33" s="7">
        <v>91</v>
      </c>
      <c r="D33">
        <f t="shared" ca="1" si="2"/>
        <v>90</v>
      </c>
      <c r="E33">
        <f t="shared" ca="1" si="1"/>
        <v>1</v>
      </c>
    </row>
    <row r="34" spans="1:5" x14ac:dyDescent="0.25">
      <c r="A34" s="7">
        <v>7</v>
      </c>
      <c r="B34" s="7">
        <v>8</v>
      </c>
      <c r="C34" s="7">
        <v>14</v>
      </c>
      <c r="D34">
        <f t="shared" ca="1" si="2"/>
        <v>12</v>
      </c>
      <c r="E34">
        <f t="shared" ca="1" si="1"/>
        <v>2</v>
      </c>
    </row>
    <row r="35" spans="1:5" x14ac:dyDescent="0.25">
      <c r="A35" s="7">
        <v>7</v>
      </c>
      <c r="B35" s="7">
        <v>10</v>
      </c>
      <c r="C35" s="7">
        <v>64</v>
      </c>
      <c r="D35">
        <f t="shared" ca="1" si="2"/>
        <v>55</v>
      </c>
      <c r="E35">
        <f t="shared" ca="1" si="1"/>
        <v>9</v>
      </c>
    </row>
    <row r="36" spans="1:5" x14ac:dyDescent="0.25">
      <c r="A36" s="7">
        <v>7</v>
      </c>
      <c r="B36" s="7">
        <v>12</v>
      </c>
      <c r="C36" s="7">
        <v>164</v>
      </c>
      <c r="D36">
        <f t="shared" ca="1" si="2"/>
        <v>82</v>
      </c>
      <c r="E36">
        <f t="shared" ca="1" si="1"/>
        <v>82</v>
      </c>
    </row>
    <row r="37" spans="1:5" x14ac:dyDescent="0.25">
      <c r="A37" s="7">
        <v>7</v>
      </c>
      <c r="B37" s="7">
        <v>14</v>
      </c>
      <c r="C37" s="7">
        <v>404</v>
      </c>
      <c r="D37">
        <f t="shared" ca="1" si="2"/>
        <v>404</v>
      </c>
      <c r="E37">
        <f t="shared" ca="1" si="1"/>
        <v>0</v>
      </c>
    </row>
    <row r="38" spans="1:5" x14ac:dyDescent="0.25">
      <c r="A38" s="7">
        <v>7</v>
      </c>
      <c r="B38" s="7">
        <v>16</v>
      </c>
      <c r="C38" s="7">
        <v>2</v>
      </c>
      <c r="D38">
        <f t="shared" ca="1" si="2"/>
        <v>1</v>
      </c>
      <c r="E38">
        <f t="shared" ca="1" si="1"/>
        <v>1</v>
      </c>
    </row>
    <row r="39" spans="1:5" x14ac:dyDescent="0.25">
      <c r="A39" s="7">
        <v>7</v>
      </c>
      <c r="B39" s="7">
        <v>18</v>
      </c>
      <c r="C39" s="7">
        <v>16</v>
      </c>
      <c r="D39">
        <f t="shared" ca="1" si="2"/>
        <v>4</v>
      </c>
      <c r="E39">
        <f t="shared" ca="1" si="1"/>
        <v>12</v>
      </c>
    </row>
    <row r="40" spans="1:5" x14ac:dyDescent="0.25">
      <c r="A40" s="7">
        <v>7</v>
      </c>
      <c r="B40" s="7">
        <v>20</v>
      </c>
      <c r="C40" s="7">
        <v>11</v>
      </c>
      <c r="D40">
        <f t="shared" ca="1" si="2"/>
        <v>4</v>
      </c>
      <c r="E40">
        <f t="shared" ca="1" si="1"/>
        <v>7</v>
      </c>
    </row>
    <row r="41" spans="1:5" x14ac:dyDescent="0.25">
      <c r="A41" s="7">
        <v>7</v>
      </c>
      <c r="B41" s="7">
        <v>22</v>
      </c>
      <c r="C41" s="7">
        <v>816</v>
      </c>
      <c r="D41">
        <f t="shared" ca="1" si="2"/>
        <v>816</v>
      </c>
      <c r="E41">
        <f t="shared" ca="1" si="1"/>
        <v>0</v>
      </c>
    </row>
    <row r="42" spans="1:5" x14ac:dyDescent="0.25">
      <c r="A42" s="7">
        <v>7</v>
      </c>
      <c r="B42" s="7">
        <v>24</v>
      </c>
      <c r="C42" s="7">
        <v>2</v>
      </c>
      <c r="D42">
        <f t="shared" ca="1" si="2"/>
        <v>1</v>
      </c>
      <c r="E42">
        <f t="shared" ca="1" si="1"/>
        <v>1</v>
      </c>
    </row>
    <row r="43" spans="1:5" x14ac:dyDescent="0.25">
      <c r="A43" s="7">
        <v>7</v>
      </c>
      <c r="B43" s="7">
        <v>26</v>
      </c>
      <c r="C43" s="7">
        <v>236</v>
      </c>
      <c r="D43">
        <f t="shared" ca="1" si="2"/>
        <v>236</v>
      </c>
      <c r="E43">
        <f t="shared" ca="1" si="1"/>
        <v>0</v>
      </c>
    </row>
    <row r="44" spans="1:5" x14ac:dyDescent="0.25">
      <c r="A44" s="7">
        <v>7</v>
      </c>
      <c r="B44" s="7">
        <v>28</v>
      </c>
      <c r="C44" s="7">
        <v>339</v>
      </c>
      <c r="D44">
        <f t="shared" ca="1" si="2"/>
        <v>339</v>
      </c>
      <c r="E44">
        <f t="shared" ca="1" si="1"/>
        <v>0</v>
      </c>
    </row>
    <row r="45" spans="1:5" x14ac:dyDescent="0.25">
      <c r="A45" s="7">
        <v>7</v>
      </c>
      <c r="B45" s="7">
        <v>32</v>
      </c>
      <c r="C45" s="7">
        <v>1</v>
      </c>
      <c r="D45">
        <f t="shared" ca="1" si="2"/>
        <v>1</v>
      </c>
      <c r="E45">
        <f t="shared" ca="1" si="1"/>
        <v>0</v>
      </c>
    </row>
    <row r="46" spans="1:5" x14ac:dyDescent="0.25">
      <c r="A46" s="7">
        <v>7</v>
      </c>
      <c r="B46" s="7">
        <v>34</v>
      </c>
      <c r="C46" s="7">
        <v>17</v>
      </c>
      <c r="D46">
        <f t="shared" ca="1" si="2"/>
        <v>17</v>
      </c>
      <c r="E46">
        <f t="shared" ca="1" si="1"/>
        <v>0</v>
      </c>
    </row>
    <row r="47" spans="1:5" x14ac:dyDescent="0.25">
      <c r="A47" s="7">
        <v>7</v>
      </c>
      <c r="B47" s="7">
        <v>36</v>
      </c>
      <c r="C47" s="7">
        <v>18</v>
      </c>
      <c r="D47">
        <f t="shared" ca="1" si="2"/>
        <v>18</v>
      </c>
      <c r="E47">
        <f t="shared" ca="1" si="1"/>
        <v>0</v>
      </c>
    </row>
    <row r="48" spans="1:5" x14ac:dyDescent="0.25">
      <c r="A48" s="7">
        <v>7</v>
      </c>
      <c r="B48" s="7">
        <v>40</v>
      </c>
      <c r="C48" s="7">
        <v>198</v>
      </c>
      <c r="D48">
        <f t="shared" ca="1" si="2"/>
        <v>198</v>
      </c>
      <c r="E48">
        <f t="shared" ca="1" si="1"/>
        <v>0</v>
      </c>
    </row>
    <row r="49" spans="1:8" x14ac:dyDescent="0.25">
      <c r="A49" s="7">
        <v>7</v>
      </c>
      <c r="B49" s="7">
        <v>48</v>
      </c>
      <c r="C49" s="7">
        <v>3</v>
      </c>
      <c r="D49">
        <f t="shared" ca="1" si="2"/>
        <v>3</v>
      </c>
      <c r="E49">
        <f t="shared" ca="1" si="1"/>
        <v>0</v>
      </c>
    </row>
    <row r="50" spans="1:8" x14ac:dyDescent="0.25">
      <c r="A50" s="8">
        <v>9</v>
      </c>
      <c r="B50" s="7">
        <v>0</v>
      </c>
      <c r="C50" s="7">
        <v>19</v>
      </c>
      <c r="D50">
        <f t="shared" ca="1" si="2"/>
        <v>16</v>
      </c>
      <c r="E50">
        <f t="shared" ca="1" si="1"/>
        <v>3</v>
      </c>
      <c r="F50" s="9">
        <f ca="1">-INDIRECT("'2011'!"&amp;ADDRESS(A50+2,A50+1))</f>
        <v>485</v>
      </c>
      <c r="G50">
        <f>SUM(C50:C58)</f>
        <v>485</v>
      </c>
      <c r="H50">
        <f ca="1">F50-G50</f>
        <v>0</v>
      </c>
    </row>
    <row r="51" spans="1:8" x14ac:dyDescent="0.25">
      <c r="A51" s="8">
        <v>9</v>
      </c>
      <c r="B51" s="7">
        <v>2</v>
      </c>
      <c r="C51" s="7">
        <v>86</v>
      </c>
      <c r="D51">
        <f t="shared" ca="1" si="2"/>
        <v>86</v>
      </c>
      <c r="E51">
        <f t="shared" ca="1" si="1"/>
        <v>0</v>
      </c>
    </row>
    <row r="52" spans="1:8" x14ac:dyDescent="0.25">
      <c r="A52" s="8">
        <v>9</v>
      </c>
      <c r="B52" s="7">
        <v>4</v>
      </c>
      <c r="C52" s="7">
        <v>23</v>
      </c>
      <c r="D52">
        <f t="shared" ca="1" si="2"/>
        <v>23</v>
      </c>
      <c r="E52">
        <f t="shared" ca="1" si="1"/>
        <v>0</v>
      </c>
    </row>
    <row r="53" spans="1:8" x14ac:dyDescent="0.25">
      <c r="A53" s="8">
        <v>9</v>
      </c>
      <c r="B53" s="7">
        <v>8</v>
      </c>
      <c r="C53" s="7">
        <v>1</v>
      </c>
      <c r="D53">
        <f t="shared" ca="1" si="2"/>
        <v>1</v>
      </c>
      <c r="E53">
        <f t="shared" ca="1" si="1"/>
        <v>0</v>
      </c>
    </row>
    <row r="54" spans="1:8" x14ac:dyDescent="0.25">
      <c r="A54" s="8">
        <v>9</v>
      </c>
      <c r="B54" s="7">
        <v>10</v>
      </c>
      <c r="C54" s="7">
        <v>55</v>
      </c>
      <c r="D54">
        <f t="shared" ca="1" si="2"/>
        <v>55</v>
      </c>
      <c r="E54">
        <f t="shared" ca="1" si="1"/>
        <v>0</v>
      </c>
    </row>
    <row r="55" spans="1:8" x14ac:dyDescent="0.25">
      <c r="A55" s="8">
        <v>9</v>
      </c>
      <c r="B55" s="7">
        <v>16</v>
      </c>
      <c r="C55" s="7">
        <v>127</v>
      </c>
      <c r="D55">
        <f t="shared" ca="1" si="2"/>
        <v>126</v>
      </c>
      <c r="E55">
        <f t="shared" ca="1" si="1"/>
        <v>1</v>
      </c>
    </row>
    <row r="56" spans="1:8" x14ac:dyDescent="0.25">
      <c r="A56" s="8">
        <v>9</v>
      </c>
      <c r="B56" s="7">
        <v>18</v>
      </c>
      <c r="C56" s="7">
        <v>2</v>
      </c>
      <c r="D56">
        <f t="shared" ca="1" si="2"/>
        <v>2</v>
      </c>
      <c r="E56">
        <f t="shared" ca="1" si="1"/>
        <v>0</v>
      </c>
    </row>
    <row r="57" spans="1:8" x14ac:dyDescent="0.25">
      <c r="A57" s="8">
        <v>9</v>
      </c>
      <c r="B57" s="7">
        <v>24</v>
      </c>
      <c r="C57" s="7">
        <v>169</v>
      </c>
      <c r="D57">
        <f t="shared" ca="1" si="2"/>
        <v>169</v>
      </c>
      <c r="E57">
        <f t="shared" ca="1" si="1"/>
        <v>0</v>
      </c>
    </row>
    <row r="58" spans="1:8" x14ac:dyDescent="0.25">
      <c r="A58" s="8">
        <v>9</v>
      </c>
      <c r="B58" s="7">
        <v>32</v>
      </c>
      <c r="C58" s="7">
        <v>3</v>
      </c>
      <c r="D58">
        <f t="shared" ca="1" si="2"/>
        <v>3</v>
      </c>
      <c r="E58">
        <f t="shared" ca="1" si="1"/>
        <v>0</v>
      </c>
    </row>
    <row r="59" spans="1:8" x14ac:dyDescent="0.25">
      <c r="A59" s="7">
        <v>11</v>
      </c>
      <c r="B59" s="7">
        <v>0</v>
      </c>
      <c r="C59" s="7">
        <v>32</v>
      </c>
      <c r="D59">
        <f t="shared" ca="1" si="2"/>
        <v>32</v>
      </c>
      <c r="E59">
        <f t="shared" ca="1" si="1"/>
        <v>0</v>
      </c>
      <c r="F59" s="9">
        <f ca="1">-INDIRECT("'2011'!"&amp;ADDRESS(A59+2,A59+1))</f>
        <v>941</v>
      </c>
      <c r="G59">
        <f>SUM(C59:C76)</f>
        <v>941</v>
      </c>
      <c r="H59">
        <f ca="1">F59-G59</f>
        <v>0</v>
      </c>
    </row>
    <row r="60" spans="1:8" x14ac:dyDescent="0.25">
      <c r="A60" s="7">
        <v>11</v>
      </c>
      <c r="B60" s="7">
        <v>2</v>
      </c>
      <c r="C60" s="7">
        <v>1</v>
      </c>
      <c r="D60">
        <f t="shared" ca="1" si="2"/>
        <v>0</v>
      </c>
      <c r="E60">
        <f t="shared" ca="1" si="1"/>
        <v>1</v>
      </c>
    </row>
    <row r="61" spans="1:8" x14ac:dyDescent="0.25">
      <c r="A61" s="7">
        <v>11</v>
      </c>
      <c r="B61" s="7">
        <v>4</v>
      </c>
      <c r="C61" s="7">
        <v>16</v>
      </c>
      <c r="D61">
        <f t="shared" ca="1" si="2"/>
        <v>9</v>
      </c>
      <c r="E61">
        <f t="shared" ca="1" si="1"/>
        <v>7</v>
      </c>
    </row>
    <row r="62" spans="1:8" x14ac:dyDescent="0.25">
      <c r="A62" s="7">
        <v>11</v>
      </c>
      <c r="B62" s="7">
        <v>6</v>
      </c>
      <c r="C62" s="7">
        <v>135</v>
      </c>
      <c r="D62">
        <f t="shared" ca="1" si="2"/>
        <v>135</v>
      </c>
      <c r="E62">
        <f t="shared" ca="1" si="1"/>
        <v>0</v>
      </c>
    </row>
    <row r="63" spans="1:8" x14ac:dyDescent="0.25">
      <c r="A63" s="7">
        <v>11</v>
      </c>
      <c r="B63" s="7">
        <v>8</v>
      </c>
      <c r="C63" s="7">
        <v>4</v>
      </c>
      <c r="D63">
        <f t="shared" ca="1" si="2"/>
        <v>2</v>
      </c>
      <c r="E63">
        <f t="shared" ca="1" si="1"/>
        <v>2</v>
      </c>
    </row>
    <row r="64" spans="1:8" x14ac:dyDescent="0.25">
      <c r="A64" s="7">
        <v>11</v>
      </c>
      <c r="B64" s="7">
        <v>10</v>
      </c>
      <c r="C64" s="7">
        <v>30</v>
      </c>
      <c r="D64">
        <f t="shared" ca="1" si="2"/>
        <v>30</v>
      </c>
      <c r="E64">
        <f t="shared" ca="1" si="1"/>
        <v>0</v>
      </c>
    </row>
    <row r="65" spans="1:8" x14ac:dyDescent="0.25">
      <c r="A65" s="7">
        <v>11</v>
      </c>
      <c r="B65" s="7">
        <v>12</v>
      </c>
      <c r="C65" s="7">
        <v>77</v>
      </c>
      <c r="D65">
        <f t="shared" ca="1" si="2"/>
        <v>29</v>
      </c>
      <c r="E65">
        <f t="shared" ca="1" si="1"/>
        <v>48</v>
      </c>
    </row>
    <row r="66" spans="1:8" x14ac:dyDescent="0.25">
      <c r="A66" s="7">
        <v>11</v>
      </c>
      <c r="B66" s="7">
        <v>14</v>
      </c>
      <c r="C66" s="7">
        <v>63</v>
      </c>
      <c r="D66">
        <f t="shared" ca="1" si="2"/>
        <v>63</v>
      </c>
      <c r="E66">
        <f t="shared" ca="1" si="1"/>
        <v>0</v>
      </c>
    </row>
    <row r="67" spans="1:8" x14ac:dyDescent="0.25">
      <c r="A67" s="7">
        <v>11</v>
      </c>
      <c r="B67" s="7">
        <v>18</v>
      </c>
      <c r="C67" s="7">
        <v>143</v>
      </c>
      <c r="D67">
        <f t="shared" ca="1" si="2"/>
        <v>143</v>
      </c>
      <c r="E67">
        <f t="shared" ref="E67:E130" ca="1" si="3">C67-D67</f>
        <v>0</v>
      </c>
    </row>
    <row r="68" spans="1:8" x14ac:dyDescent="0.25">
      <c r="A68" s="7">
        <v>11</v>
      </c>
      <c r="B68" s="7">
        <v>20</v>
      </c>
      <c r="C68" s="7">
        <v>62</v>
      </c>
      <c r="D68">
        <f t="shared" ca="1" si="2"/>
        <v>61</v>
      </c>
      <c r="E68">
        <f t="shared" ca="1" si="3"/>
        <v>1</v>
      </c>
    </row>
    <row r="69" spans="1:8" x14ac:dyDescent="0.25">
      <c r="A69" s="7">
        <v>11</v>
      </c>
      <c r="B69" s="7">
        <v>22</v>
      </c>
      <c r="C69" s="7">
        <v>25</v>
      </c>
      <c r="D69">
        <f t="shared" ca="1" si="2"/>
        <v>25</v>
      </c>
      <c r="E69">
        <f t="shared" ca="1" si="3"/>
        <v>0</v>
      </c>
    </row>
    <row r="70" spans="1:8" x14ac:dyDescent="0.25">
      <c r="A70" s="7">
        <v>11</v>
      </c>
      <c r="B70" s="7">
        <v>24</v>
      </c>
      <c r="C70" s="7">
        <v>7</v>
      </c>
      <c r="D70">
        <f t="shared" ca="1" si="2"/>
        <v>2</v>
      </c>
      <c r="E70">
        <f t="shared" ca="1" si="3"/>
        <v>5</v>
      </c>
    </row>
    <row r="71" spans="1:8" x14ac:dyDescent="0.25">
      <c r="A71" s="7">
        <v>11</v>
      </c>
      <c r="B71" s="7">
        <v>26</v>
      </c>
      <c r="C71" s="7">
        <v>217</v>
      </c>
      <c r="D71">
        <f t="shared" ca="1" si="2"/>
        <v>217</v>
      </c>
      <c r="E71">
        <f t="shared" ca="1" si="3"/>
        <v>0</v>
      </c>
    </row>
    <row r="72" spans="1:8" x14ac:dyDescent="0.25">
      <c r="A72" s="7">
        <v>11</v>
      </c>
      <c r="B72" s="7">
        <v>28</v>
      </c>
      <c r="C72" s="7">
        <v>43</v>
      </c>
      <c r="D72">
        <f t="shared" ca="1" si="2"/>
        <v>43</v>
      </c>
      <c r="E72">
        <f t="shared" ca="1" si="3"/>
        <v>0</v>
      </c>
    </row>
    <row r="73" spans="1:8" x14ac:dyDescent="0.25">
      <c r="A73" s="7">
        <v>11</v>
      </c>
      <c r="B73" s="7">
        <v>32</v>
      </c>
      <c r="C73" s="7">
        <v>72</v>
      </c>
      <c r="D73">
        <f t="shared" ca="1" si="2"/>
        <v>72</v>
      </c>
      <c r="E73">
        <f t="shared" ca="1" si="3"/>
        <v>0</v>
      </c>
    </row>
    <row r="74" spans="1:8" x14ac:dyDescent="0.25">
      <c r="A74" s="7">
        <v>11</v>
      </c>
      <c r="B74" s="7">
        <v>34</v>
      </c>
      <c r="C74" s="7">
        <v>4</v>
      </c>
      <c r="D74">
        <f t="shared" ca="1" si="2"/>
        <v>4</v>
      </c>
      <c r="E74">
        <f t="shared" ca="1" si="3"/>
        <v>0</v>
      </c>
    </row>
    <row r="75" spans="1:8" x14ac:dyDescent="0.25">
      <c r="A75" s="7">
        <v>11</v>
      </c>
      <c r="B75" s="7">
        <v>36</v>
      </c>
      <c r="C75" s="7">
        <v>4</v>
      </c>
      <c r="D75">
        <f t="shared" ref="D75:D138" ca="1" si="4">INDIRECT("'2011'!"&amp;ADDRESS(A75+2,B75+1))</f>
        <v>4</v>
      </c>
      <c r="E75">
        <f t="shared" ca="1" si="3"/>
        <v>0</v>
      </c>
    </row>
    <row r="76" spans="1:8" x14ac:dyDescent="0.25">
      <c r="A76" s="7">
        <v>11</v>
      </c>
      <c r="B76" s="7">
        <v>40</v>
      </c>
      <c r="C76" s="7">
        <v>6</v>
      </c>
      <c r="D76">
        <f t="shared" ca="1" si="4"/>
        <v>6</v>
      </c>
      <c r="E76">
        <f t="shared" ca="1" si="3"/>
        <v>0</v>
      </c>
    </row>
    <row r="77" spans="1:8" x14ac:dyDescent="0.25">
      <c r="A77" s="8">
        <v>13</v>
      </c>
      <c r="B77" s="7">
        <v>0</v>
      </c>
      <c r="C77" s="7">
        <v>18</v>
      </c>
      <c r="D77">
        <f t="shared" ca="1" si="4"/>
        <v>18</v>
      </c>
      <c r="E77">
        <f t="shared" ca="1" si="3"/>
        <v>0</v>
      </c>
      <c r="F77" s="9">
        <f ca="1">-INDIRECT("'2011'!"&amp;ADDRESS(A77+2,A77+1))</f>
        <v>638</v>
      </c>
      <c r="G77">
        <f>SUM(C77:C94)</f>
        <v>638</v>
      </c>
      <c r="H77">
        <f ca="1">F77-G77</f>
        <v>0</v>
      </c>
    </row>
    <row r="78" spans="1:8" x14ac:dyDescent="0.25">
      <c r="A78" s="8">
        <v>13</v>
      </c>
      <c r="B78" s="7">
        <v>2</v>
      </c>
      <c r="C78" s="7">
        <v>24</v>
      </c>
      <c r="D78">
        <f t="shared" ca="1" si="4"/>
        <v>24</v>
      </c>
      <c r="E78">
        <f t="shared" ca="1" si="3"/>
        <v>0</v>
      </c>
    </row>
    <row r="79" spans="1:8" x14ac:dyDescent="0.25">
      <c r="A79" s="8">
        <v>13</v>
      </c>
      <c r="B79" s="7">
        <v>4</v>
      </c>
      <c r="C79" s="7">
        <v>31</v>
      </c>
      <c r="D79">
        <f t="shared" ca="1" si="4"/>
        <v>31</v>
      </c>
      <c r="E79">
        <f t="shared" ca="1" si="3"/>
        <v>0</v>
      </c>
    </row>
    <row r="80" spans="1:8" x14ac:dyDescent="0.25">
      <c r="A80" s="8">
        <v>13</v>
      </c>
      <c r="B80" s="7">
        <v>6</v>
      </c>
      <c r="C80" s="7">
        <v>9</v>
      </c>
      <c r="D80">
        <f t="shared" ca="1" si="4"/>
        <v>9</v>
      </c>
      <c r="E80">
        <f t="shared" ca="1" si="3"/>
        <v>0</v>
      </c>
    </row>
    <row r="81" spans="1:8" x14ac:dyDescent="0.25">
      <c r="A81" s="8">
        <v>13</v>
      </c>
      <c r="B81" s="7">
        <v>8</v>
      </c>
      <c r="C81" s="7">
        <v>10</v>
      </c>
      <c r="D81">
        <f t="shared" ca="1" si="4"/>
        <v>2</v>
      </c>
      <c r="E81">
        <f t="shared" ca="1" si="3"/>
        <v>8</v>
      </c>
    </row>
    <row r="82" spans="1:8" x14ac:dyDescent="0.25">
      <c r="A82" s="8">
        <v>13</v>
      </c>
      <c r="B82" s="7">
        <v>10</v>
      </c>
      <c r="C82" s="7">
        <v>51</v>
      </c>
      <c r="D82">
        <f t="shared" ca="1" si="4"/>
        <v>51</v>
      </c>
      <c r="E82">
        <f t="shared" ca="1" si="3"/>
        <v>0</v>
      </c>
    </row>
    <row r="83" spans="1:8" x14ac:dyDescent="0.25">
      <c r="A83" s="8">
        <v>13</v>
      </c>
      <c r="B83" s="7">
        <v>12</v>
      </c>
      <c r="C83" s="7">
        <v>6</v>
      </c>
      <c r="D83">
        <f t="shared" ca="1" si="4"/>
        <v>6</v>
      </c>
      <c r="E83">
        <f t="shared" ca="1" si="3"/>
        <v>0</v>
      </c>
    </row>
    <row r="84" spans="1:8" x14ac:dyDescent="0.25">
      <c r="A84" s="8">
        <v>13</v>
      </c>
      <c r="B84" s="7">
        <v>14</v>
      </c>
      <c r="C84" s="7">
        <v>83</v>
      </c>
      <c r="D84">
        <f t="shared" ca="1" si="4"/>
        <v>83</v>
      </c>
      <c r="E84">
        <f t="shared" ca="1" si="3"/>
        <v>0</v>
      </c>
    </row>
    <row r="85" spans="1:8" x14ac:dyDescent="0.25">
      <c r="A85" s="8">
        <v>13</v>
      </c>
      <c r="B85" s="7">
        <v>16</v>
      </c>
      <c r="C85" s="7">
        <v>1</v>
      </c>
      <c r="D85">
        <f t="shared" ca="1" si="4"/>
        <v>1</v>
      </c>
      <c r="E85">
        <f t="shared" ca="1" si="3"/>
        <v>0</v>
      </c>
    </row>
    <row r="86" spans="1:8" x14ac:dyDescent="0.25">
      <c r="A86" s="8">
        <v>13</v>
      </c>
      <c r="B86" s="7">
        <v>18</v>
      </c>
      <c r="C86" s="7">
        <v>3</v>
      </c>
      <c r="D86">
        <f t="shared" ca="1" si="4"/>
        <v>3</v>
      </c>
      <c r="E86">
        <f t="shared" ca="1" si="3"/>
        <v>0</v>
      </c>
    </row>
    <row r="87" spans="1:8" x14ac:dyDescent="0.25">
      <c r="A87" s="8">
        <v>13</v>
      </c>
      <c r="B87" s="7">
        <v>20</v>
      </c>
      <c r="C87" s="7">
        <v>73</v>
      </c>
      <c r="D87">
        <f t="shared" ca="1" si="4"/>
        <v>73</v>
      </c>
      <c r="E87">
        <f t="shared" ca="1" si="3"/>
        <v>0</v>
      </c>
    </row>
    <row r="88" spans="1:8" x14ac:dyDescent="0.25">
      <c r="A88" s="8">
        <v>13</v>
      </c>
      <c r="B88" s="7">
        <v>22</v>
      </c>
      <c r="C88" s="7">
        <v>6</v>
      </c>
      <c r="D88">
        <f t="shared" ca="1" si="4"/>
        <v>6</v>
      </c>
      <c r="E88">
        <f t="shared" ca="1" si="3"/>
        <v>0</v>
      </c>
    </row>
    <row r="89" spans="1:8" x14ac:dyDescent="0.25">
      <c r="A89" s="8">
        <v>13</v>
      </c>
      <c r="B89" s="7">
        <v>24</v>
      </c>
      <c r="C89" s="7">
        <v>89</v>
      </c>
      <c r="D89">
        <f t="shared" ca="1" si="4"/>
        <v>88</v>
      </c>
      <c r="E89">
        <f t="shared" ca="1" si="3"/>
        <v>1</v>
      </c>
    </row>
    <row r="90" spans="1:8" x14ac:dyDescent="0.25">
      <c r="A90" s="8">
        <v>13</v>
      </c>
      <c r="B90" s="7">
        <v>26</v>
      </c>
      <c r="C90" s="7">
        <v>8</v>
      </c>
      <c r="D90">
        <f t="shared" ca="1" si="4"/>
        <v>8</v>
      </c>
      <c r="E90">
        <f t="shared" ca="1" si="3"/>
        <v>0</v>
      </c>
    </row>
    <row r="91" spans="1:8" x14ac:dyDescent="0.25">
      <c r="A91" s="8">
        <v>13</v>
      </c>
      <c r="B91" s="7">
        <v>28</v>
      </c>
      <c r="C91" s="7">
        <v>220</v>
      </c>
      <c r="D91">
        <f t="shared" ca="1" si="4"/>
        <v>220</v>
      </c>
      <c r="E91">
        <f t="shared" ca="1" si="3"/>
        <v>0</v>
      </c>
    </row>
    <row r="92" spans="1:8" x14ac:dyDescent="0.25">
      <c r="A92" s="8">
        <v>13</v>
      </c>
      <c r="B92" s="7">
        <v>32</v>
      </c>
      <c r="C92" s="7">
        <v>2</v>
      </c>
      <c r="D92">
        <f t="shared" ca="1" si="4"/>
        <v>2</v>
      </c>
      <c r="E92">
        <f t="shared" ca="1" si="3"/>
        <v>0</v>
      </c>
    </row>
    <row r="93" spans="1:8" x14ac:dyDescent="0.25">
      <c r="A93" s="8">
        <v>13</v>
      </c>
      <c r="B93" s="7">
        <v>36</v>
      </c>
      <c r="C93" s="7">
        <v>1</v>
      </c>
      <c r="D93">
        <f t="shared" ca="1" si="4"/>
        <v>1</v>
      </c>
      <c r="E93">
        <f t="shared" ca="1" si="3"/>
        <v>0</v>
      </c>
    </row>
    <row r="94" spans="1:8" x14ac:dyDescent="0.25">
      <c r="A94" s="8">
        <v>13</v>
      </c>
      <c r="B94" s="7">
        <v>40</v>
      </c>
      <c r="C94" s="7">
        <v>3</v>
      </c>
      <c r="D94">
        <f t="shared" ca="1" si="4"/>
        <v>3</v>
      </c>
      <c r="E94">
        <f t="shared" ca="1" si="3"/>
        <v>0</v>
      </c>
    </row>
    <row r="95" spans="1:8" x14ac:dyDescent="0.25">
      <c r="A95" s="7">
        <v>15</v>
      </c>
      <c r="B95" s="7">
        <v>0</v>
      </c>
      <c r="C95" s="7">
        <v>15</v>
      </c>
      <c r="D95">
        <f t="shared" ca="1" si="4"/>
        <v>15</v>
      </c>
      <c r="E95">
        <f t="shared" ca="1" si="3"/>
        <v>0</v>
      </c>
      <c r="F95" s="9">
        <f ca="1">-INDIRECT("'2011'!"&amp;ADDRESS(A95+2,A95+1))</f>
        <v>667</v>
      </c>
      <c r="G95">
        <f>SUM(C95:C115)</f>
        <v>667</v>
      </c>
      <c r="H95">
        <f ca="1">F95-G95</f>
        <v>0</v>
      </c>
    </row>
    <row r="96" spans="1:8" x14ac:dyDescent="0.25">
      <c r="A96" s="7">
        <v>15</v>
      </c>
      <c r="B96" s="7">
        <v>4</v>
      </c>
      <c r="C96" s="7">
        <v>9</v>
      </c>
      <c r="D96">
        <f t="shared" ca="1" si="4"/>
        <v>9</v>
      </c>
      <c r="E96">
        <f t="shared" ca="1" si="3"/>
        <v>0</v>
      </c>
    </row>
    <row r="97" spans="1:5" x14ac:dyDescent="0.25">
      <c r="A97" s="7">
        <v>15</v>
      </c>
      <c r="B97" s="7">
        <v>6</v>
      </c>
      <c r="C97" s="7">
        <v>18</v>
      </c>
      <c r="D97">
        <f t="shared" ca="1" si="4"/>
        <v>18</v>
      </c>
      <c r="E97">
        <f t="shared" ca="1" si="3"/>
        <v>0</v>
      </c>
    </row>
    <row r="98" spans="1:5" x14ac:dyDescent="0.25">
      <c r="A98" s="7">
        <v>15</v>
      </c>
      <c r="B98" s="7">
        <v>8</v>
      </c>
      <c r="C98" s="7">
        <v>2</v>
      </c>
      <c r="D98">
        <f t="shared" ca="1" si="4"/>
        <v>2</v>
      </c>
      <c r="E98">
        <f t="shared" ca="1" si="3"/>
        <v>0</v>
      </c>
    </row>
    <row r="99" spans="1:5" x14ac:dyDescent="0.25">
      <c r="A99" s="7">
        <v>15</v>
      </c>
      <c r="B99" s="7">
        <v>10</v>
      </c>
      <c r="C99" s="7">
        <v>13</v>
      </c>
      <c r="D99">
        <f t="shared" ca="1" si="4"/>
        <v>13</v>
      </c>
      <c r="E99">
        <f t="shared" ca="1" si="3"/>
        <v>0</v>
      </c>
    </row>
    <row r="100" spans="1:5" x14ac:dyDescent="0.25">
      <c r="A100" s="7">
        <v>15</v>
      </c>
      <c r="B100" s="7">
        <v>12</v>
      </c>
      <c r="C100" s="7">
        <v>35</v>
      </c>
      <c r="D100">
        <f t="shared" ca="1" si="4"/>
        <v>30</v>
      </c>
      <c r="E100">
        <f t="shared" ca="1" si="3"/>
        <v>5</v>
      </c>
    </row>
    <row r="101" spans="1:5" x14ac:dyDescent="0.25">
      <c r="A101" s="7">
        <v>15</v>
      </c>
      <c r="B101" s="7">
        <v>14</v>
      </c>
      <c r="C101" s="7">
        <v>122</v>
      </c>
      <c r="D101">
        <f t="shared" ca="1" si="4"/>
        <v>122</v>
      </c>
      <c r="E101">
        <f t="shared" ca="1" si="3"/>
        <v>0</v>
      </c>
    </row>
    <row r="102" spans="1:5" x14ac:dyDescent="0.25">
      <c r="A102" s="7">
        <v>15</v>
      </c>
      <c r="B102" s="7">
        <v>16</v>
      </c>
      <c r="C102" s="7">
        <v>1</v>
      </c>
      <c r="D102">
        <f t="shared" ca="1" si="4"/>
        <v>1</v>
      </c>
      <c r="E102">
        <f t="shared" ca="1" si="3"/>
        <v>0</v>
      </c>
    </row>
    <row r="103" spans="1:5" x14ac:dyDescent="0.25">
      <c r="A103" s="7">
        <v>15</v>
      </c>
      <c r="B103" s="7">
        <v>20</v>
      </c>
      <c r="C103" s="7">
        <v>2</v>
      </c>
      <c r="D103">
        <f t="shared" ca="1" si="4"/>
        <v>2</v>
      </c>
      <c r="E103">
        <f t="shared" ca="1" si="3"/>
        <v>0</v>
      </c>
    </row>
    <row r="104" spans="1:5" x14ac:dyDescent="0.25">
      <c r="A104" s="7">
        <v>15</v>
      </c>
      <c r="B104" s="7">
        <v>22</v>
      </c>
      <c r="C104" s="7">
        <v>54</v>
      </c>
      <c r="D104">
        <f t="shared" ca="1" si="4"/>
        <v>54</v>
      </c>
      <c r="E104">
        <f t="shared" ca="1" si="3"/>
        <v>0</v>
      </c>
    </row>
    <row r="105" spans="1:5" x14ac:dyDescent="0.25">
      <c r="A105" s="7">
        <v>15</v>
      </c>
      <c r="B105" s="7">
        <v>24</v>
      </c>
      <c r="C105" s="7">
        <v>2</v>
      </c>
      <c r="D105">
        <f t="shared" ca="1" si="4"/>
        <v>2</v>
      </c>
      <c r="E105">
        <f t="shared" ca="1" si="3"/>
        <v>0</v>
      </c>
    </row>
    <row r="106" spans="1:5" x14ac:dyDescent="0.25">
      <c r="A106" s="7">
        <v>15</v>
      </c>
      <c r="B106" s="7">
        <v>26</v>
      </c>
      <c r="C106" s="7">
        <v>59</v>
      </c>
      <c r="D106">
        <f t="shared" ca="1" si="4"/>
        <v>59</v>
      </c>
      <c r="E106">
        <f t="shared" ca="1" si="3"/>
        <v>0</v>
      </c>
    </row>
    <row r="107" spans="1:5" x14ac:dyDescent="0.25">
      <c r="A107" s="7">
        <v>15</v>
      </c>
      <c r="B107" s="7">
        <v>28</v>
      </c>
      <c r="C107" s="7">
        <v>30</v>
      </c>
      <c r="D107">
        <f t="shared" ca="1" si="4"/>
        <v>30</v>
      </c>
      <c r="E107">
        <f t="shared" ca="1" si="3"/>
        <v>0</v>
      </c>
    </row>
    <row r="108" spans="1:5" x14ac:dyDescent="0.25">
      <c r="A108" s="7">
        <v>15</v>
      </c>
      <c r="B108" s="7">
        <v>30</v>
      </c>
      <c r="C108" s="7">
        <v>233</v>
      </c>
      <c r="D108">
        <f t="shared" ca="1" si="4"/>
        <v>233</v>
      </c>
      <c r="E108">
        <f t="shared" ca="1" si="3"/>
        <v>0</v>
      </c>
    </row>
    <row r="109" spans="1:5" x14ac:dyDescent="0.25">
      <c r="A109" s="7">
        <v>15</v>
      </c>
      <c r="B109" s="7">
        <v>32</v>
      </c>
      <c r="C109" s="7">
        <v>1</v>
      </c>
      <c r="D109">
        <f t="shared" ca="1" si="4"/>
        <v>1</v>
      </c>
      <c r="E109">
        <f t="shared" ca="1" si="3"/>
        <v>0</v>
      </c>
    </row>
    <row r="110" spans="1:5" x14ac:dyDescent="0.25">
      <c r="A110" s="7">
        <v>15</v>
      </c>
      <c r="B110" s="7">
        <v>34</v>
      </c>
      <c r="C110" s="7">
        <v>2</v>
      </c>
      <c r="D110">
        <f t="shared" ca="1" si="4"/>
        <v>2</v>
      </c>
      <c r="E110">
        <f t="shared" ca="1" si="3"/>
        <v>0</v>
      </c>
    </row>
    <row r="111" spans="1:5" x14ac:dyDescent="0.25">
      <c r="A111" s="7">
        <v>15</v>
      </c>
      <c r="B111" s="7">
        <v>36</v>
      </c>
      <c r="C111" s="7">
        <v>2</v>
      </c>
      <c r="D111">
        <f t="shared" ca="1" si="4"/>
        <v>2</v>
      </c>
      <c r="E111">
        <f t="shared" ca="1" si="3"/>
        <v>0</v>
      </c>
    </row>
    <row r="112" spans="1:5" x14ac:dyDescent="0.25">
      <c r="A112" s="7">
        <v>15</v>
      </c>
      <c r="B112" s="7">
        <v>40</v>
      </c>
      <c r="C112" s="7">
        <v>41</v>
      </c>
      <c r="D112">
        <f t="shared" ca="1" si="4"/>
        <v>41</v>
      </c>
      <c r="E112">
        <f t="shared" ca="1" si="3"/>
        <v>0</v>
      </c>
    </row>
    <row r="113" spans="1:8" x14ac:dyDescent="0.25">
      <c r="A113" s="7">
        <v>15</v>
      </c>
      <c r="B113" s="7">
        <v>42</v>
      </c>
      <c r="C113" s="7">
        <v>3</v>
      </c>
      <c r="D113">
        <f t="shared" ca="1" si="4"/>
        <v>3</v>
      </c>
      <c r="E113">
        <f t="shared" ca="1" si="3"/>
        <v>0</v>
      </c>
    </row>
    <row r="114" spans="1:8" x14ac:dyDescent="0.25">
      <c r="A114" s="7">
        <v>15</v>
      </c>
      <c r="B114" s="7">
        <v>44</v>
      </c>
      <c r="C114" s="7">
        <v>22</v>
      </c>
      <c r="D114">
        <f t="shared" ca="1" si="4"/>
        <v>22</v>
      </c>
      <c r="E114">
        <f t="shared" ca="1" si="3"/>
        <v>0</v>
      </c>
    </row>
    <row r="115" spans="1:8" x14ac:dyDescent="0.25">
      <c r="A115" s="7">
        <v>15</v>
      </c>
      <c r="B115" s="7">
        <v>56</v>
      </c>
      <c r="C115" s="7">
        <v>1</v>
      </c>
      <c r="D115">
        <f t="shared" ca="1" si="4"/>
        <v>1</v>
      </c>
      <c r="E115">
        <f t="shared" ca="1" si="3"/>
        <v>0</v>
      </c>
    </row>
    <row r="116" spans="1:8" x14ac:dyDescent="0.25">
      <c r="A116" s="8">
        <v>17</v>
      </c>
      <c r="B116" s="7">
        <v>16</v>
      </c>
      <c r="C116" s="7">
        <v>819</v>
      </c>
      <c r="D116">
        <f t="shared" ca="1" si="4"/>
        <v>814</v>
      </c>
      <c r="E116">
        <f t="shared" ca="1" si="3"/>
        <v>5</v>
      </c>
      <c r="F116" s="9">
        <f ca="1">-INDIRECT("'2011'!"&amp;ADDRESS(A116+2,A116+1))</f>
        <v>32689</v>
      </c>
      <c r="G116">
        <f>SUM(C116:C120)</f>
        <v>32694</v>
      </c>
      <c r="H116">
        <f ca="1">F116-G116</f>
        <v>-5</v>
      </c>
    </row>
    <row r="117" spans="1:8" x14ac:dyDescent="0.25">
      <c r="A117" s="8">
        <v>17</v>
      </c>
      <c r="B117" s="7">
        <v>18</v>
      </c>
      <c r="C117" s="7">
        <v>7889</v>
      </c>
      <c r="D117">
        <f t="shared" ca="1" si="4"/>
        <v>7889</v>
      </c>
      <c r="E117">
        <f t="shared" ca="1" si="3"/>
        <v>0</v>
      </c>
    </row>
    <row r="118" spans="1:8" x14ac:dyDescent="0.25">
      <c r="A118" s="8">
        <v>17</v>
      </c>
      <c r="B118" s="7">
        <v>20</v>
      </c>
      <c r="C118" s="7">
        <v>1537</v>
      </c>
      <c r="D118">
        <f t="shared" ca="1" si="4"/>
        <v>1537</v>
      </c>
      <c r="E118">
        <f t="shared" ca="1" si="3"/>
        <v>0</v>
      </c>
    </row>
    <row r="119" spans="1:8" x14ac:dyDescent="0.25">
      <c r="A119" s="8">
        <v>17</v>
      </c>
      <c r="B119" s="7">
        <v>24</v>
      </c>
      <c r="C119" s="7">
        <v>152</v>
      </c>
      <c r="D119">
        <f t="shared" ca="1" si="4"/>
        <v>152</v>
      </c>
      <c r="E119">
        <f t="shared" ca="1" si="3"/>
        <v>0</v>
      </c>
    </row>
    <row r="120" spans="1:8" x14ac:dyDescent="0.25">
      <c r="A120" s="8">
        <v>17</v>
      </c>
      <c r="B120" s="7">
        <v>32</v>
      </c>
      <c r="C120" s="7">
        <v>22297</v>
      </c>
      <c r="D120">
        <f t="shared" ca="1" si="4"/>
        <v>22297</v>
      </c>
      <c r="E120">
        <f t="shared" ca="1" si="3"/>
        <v>0</v>
      </c>
    </row>
    <row r="121" spans="1:8" x14ac:dyDescent="0.25">
      <c r="A121" s="7">
        <v>19</v>
      </c>
      <c r="B121" s="7">
        <v>16</v>
      </c>
      <c r="C121" s="7">
        <v>303</v>
      </c>
      <c r="D121">
        <f t="shared" ca="1" si="4"/>
        <v>303</v>
      </c>
      <c r="E121">
        <f t="shared" ca="1" si="3"/>
        <v>0</v>
      </c>
      <c r="F121" s="9">
        <f ca="1">-INDIRECT("'2011'!"&amp;ADDRESS(A121+2,A121+1))</f>
        <v>13237</v>
      </c>
      <c r="G121">
        <f>SUM(C121:C132)</f>
        <v>13241</v>
      </c>
      <c r="H121">
        <f ca="1">F121-G121</f>
        <v>-4</v>
      </c>
    </row>
    <row r="122" spans="1:8" x14ac:dyDescent="0.25">
      <c r="A122" s="7">
        <v>19</v>
      </c>
      <c r="B122" s="7">
        <v>18</v>
      </c>
      <c r="C122" s="7">
        <v>4</v>
      </c>
      <c r="D122">
        <f t="shared" ca="1" si="4"/>
        <v>0</v>
      </c>
      <c r="E122">
        <f t="shared" ca="1" si="3"/>
        <v>4</v>
      </c>
    </row>
    <row r="123" spans="1:8" x14ac:dyDescent="0.25">
      <c r="A123" s="7">
        <v>19</v>
      </c>
      <c r="B123" s="7">
        <v>20</v>
      </c>
      <c r="C123" s="7">
        <v>1259</v>
      </c>
      <c r="D123">
        <f t="shared" ca="1" si="4"/>
        <v>199</v>
      </c>
      <c r="E123">
        <f t="shared" ca="1" si="3"/>
        <v>1060</v>
      </c>
    </row>
    <row r="124" spans="1:8" x14ac:dyDescent="0.25">
      <c r="A124" s="7">
        <v>19</v>
      </c>
      <c r="B124" s="7">
        <v>22</v>
      </c>
      <c r="C124" s="7">
        <v>2414</v>
      </c>
      <c r="D124">
        <f t="shared" ca="1" si="4"/>
        <v>2414</v>
      </c>
      <c r="E124">
        <f t="shared" ca="1" si="3"/>
        <v>0</v>
      </c>
    </row>
    <row r="125" spans="1:8" x14ac:dyDescent="0.25">
      <c r="A125" s="7">
        <v>19</v>
      </c>
      <c r="B125" s="7">
        <v>24</v>
      </c>
      <c r="C125" s="7">
        <v>145</v>
      </c>
      <c r="D125">
        <f t="shared" ca="1" si="4"/>
        <v>70</v>
      </c>
      <c r="E125">
        <f t="shared" ca="1" si="3"/>
        <v>75</v>
      </c>
    </row>
    <row r="126" spans="1:8" x14ac:dyDescent="0.25">
      <c r="A126" s="7">
        <v>19</v>
      </c>
      <c r="B126" s="7">
        <v>26</v>
      </c>
      <c r="C126" s="7">
        <v>552</v>
      </c>
      <c r="D126">
        <f t="shared" ca="1" si="4"/>
        <v>552</v>
      </c>
      <c r="E126">
        <f t="shared" ca="1" si="3"/>
        <v>0</v>
      </c>
    </row>
    <row r="127" spans="1:8" x14ac:dyDescent="0.25">
      <c r="A127" s="7">
        <v>19</v>
      </c>
      <c r="B127" s="7">
        <v>28</v>
      </c>
      <c r="C127" s="7">
        <v>361</v>
      </c>
      <c r="D127">
        <f t="shared" ca="1" si="4"/>
        <v>361</v>
      </c>
      <c r="E127">
        <f t="shared" ca="1" si="3"/>
        <v>0</v>
      </c>
    </row>
    <row r="128" spans="1:8" x14ac:dyDescent="0.25">
      <c r="A128" s="7">
        <v>19</v>
      </c>
      <c r="B128" s="7">
        <v>32</v>
      </c>
      <c r="C128" s="7">
        <v>379</v>
      </c>
      <c r="D128">
        <f t="shared" ca="1" si="4"/>
        <v>9</v>
      </c>
      <c r="E128">
        <f t="shared" ca="1" si="3"/>
        <v>370</v>
      </c>
    </row>
    <row r="129" spans="1:8" x14ac:dyDescent="0.25">
      <c r="A129" s="7">
        <v>19</v>
      </c>
      <c r="B129" s="7">
        <v>34</v>
      </c>
      <c r="C129" s="7">
        <v>5240</v>
      </c>
      <c r="D129">
        <f t="shared" ca="1" si="4"/>
        <v>5240</v>
      </c>
      <c r="E129">
        <f t="shared" ca="1" si="3"/>
        <v>0</v>
      </c>
    </row>
    <row r="130" spans="1:8" x14ac:dyDescent="0.25">
      <c r="A130" s="7">
        <v>19</v>
      </c>
      <c r="B130" s="7">
        <v>36</v>
      </c>
      <c r="C130" s="7">
        <v>1057</v>
      </c>
      <c r="D130">
        <f t="shared" ca="1" si="4"/>
        <v>1057</v>
      </c>
      <c r="E130">
        <f t="shared" ca="1" si="3"/>
        <v>0</v>
      </c>
    </row>
    <row r="131" spans="1:8" x14ac:dyDescent="0.25">
      <c r="A131" s="7">
        <v>19</v>
      </c>
      <c r="B131" s="7">
        <v>40</v>
      </c>
      <c r="C131" s="7">
        <v>32</v>
      </c>
      <c r="D131">
        <f t="shared" ca="1" si="4"/>
        <v>32</v>
      </c>
      <c r="E131">
        <f t="shared" ref="E131:E194" ca="1" si="5">C131-D131</f>
        <v>0</v>
      </c>
    </row>
    <row r="132" spans="1:8" x14ac:dyDescent="0.25">
      <c r="A132" s="7">
        <v>19</v>
      </c>
      <c r="B132" s="7">
        <v>48</v>
      </c>
      <c r="C132" s="7">
        <v>1495</v>
      </c>
      <c r="D132">
        <f t="shared" ca="1" si="4"/>
        <v>1495</v>
      </c>
      <c r="E132">
        <f t="shared" ca="1" si="5"/>
        <v>0</v>
      </c>
    </row>
    <row r="133" spans="1:8" x14ac:dyDescent="0.25">
      <c r="A133" s="8">
        <v>21</v>
      </c>
      <c r="B133" s="7">
        <v>16</v>
      </c>
      <c r="C133" s="7">
        <v>98</v>
      </c>
      <c r="D133">
        <f t="shared" ca="1" si="4"/>
        <v>94</v>
      </c>
      <c r="E133">
        <f t="shared" ca="1" si="5"/>
        <v>4</v>
      </c>
      <c r="F133" s="9">
        <f ca="1">-INDIRECT("'2011'!"&amp;ADDRESS(A133+2,A133+1))</f>
        <v>6127</v>
      </c>
      <c r="G133">
        <f>SUM(C133:C144)</f>
        <v>6128</v>
      </c>
      <c r="H133">
        <f ca="1">F133-G133</f>
        <v>-1</v>
      </c>
    </row>
    <row r="134" spans="1:8" x14ac:dyDescent="0.25">
      <c r="A134" s="8">
        <v>21</v>
      </c>
      <c r="B134" s="7">
        <v>18</v>
      </c>
      <c r="C134" s="7">
        <v>327</v>
      </c>
      <c r="D134">
        <f t="shared" ca="1" si="4"/>
        <v>327</v>
      </c>
      <c r="E134">
        <f t="shared" ca="1" si="5"/>
        <v>0</v>
      </c>
    </row>
    <row r="135" spans="1:8" x14ac:dyDescent="0.25">
      <c r="A135" s="8">
        <v>21</v>
      </c>
      <c r="B135" s="7">
        <v>20</v>
      </c>
      <c r="C135" s="7">
        <v>306</v>
      </c>
      <c r="D135">
        <f t="shared" ca="1" si="4"/>
        <v>305</v>
      </c>
      <c r="E135">
        <f t="shared" ca="1" si="5"/>
        <v>1</v>
      </c>
    </row>
    <row r="136" spans="1:8" x14ac:dyDescent="0.25">
      <c r="A136" s="8">
        <v>21</v>
      </c>
      <c r="B136" s="7">
        <v>22</v>
      </c>
      <c r="C136" s="7">
        <v>876</v>
      </c>
      <c r="D136">
        <f t="shared" ca="1" si="4"/>
        <v>876</v>
      </c>
      <c r="E136">
        <f t="shared" ca="1" si="5"/>
        <v>0</v>
      </c>
    </row>
    <row r="137" spans="1:8" x14ac:dyDescent="0.25">
      <c r="A137" s="8">
        <v>21</v>
      </c>
      <c r="B137" s="7">
        <v>24</v>
      </c>
      <c r="C137" s="7">
        <v>280</v>
      </c>
      <c r="D137">
        <f t="shared" ca="1" si="4"/>
        <v>34</v>
      </c>
      <c r="E137">
        <f t="shared" ca="1" si="5"/>
        <v>246</v>
      </c>
    </row>
    <row r="138" spans="1:8" x14ac:dyDescent="0.25">
      <c r="A138" s="8">
        <v>21</v>
      </c>
      <c r="B138" s="7">
        <v>26</v>
      </c>
      <c r="C138" s="7">
        <v>427</v>
      </c>
      <c r="D138">
        <f t="shared" ca="1" si="4"/>
        <v>427</v>
      </c>
      <c r="E138">
        <f t="shared" ca="1" si="5"/>
        <v>0</v>
      </c>
    </row>
    <row r="139" spans="1:8" x14ac:dyDescent="0.25">
      <c r="A139" s="8">
        <v>21</v>
      </c>
      <c r="B139" s="7">
        <v>28</v>
      </c>
      <c r="C139" s="7">
        <v>21</v>
      </c>
      <c r="D139">
        <f t="shared" ref="D139:D202" ca="1" si="6">INDIRECT("'2011'!"&amp;ADDRESS(A139+2,B139+1))</f>
        <v>21</v>
      </c>
      <c r="E139">
        <f t="shared" ca="1" si="5"/>
        <v>0</v>
      </c>
    </row>
    <row r="140" spans="1:8" x14ac:dyDescent="0.25">
      <c r="A140" s="8">
        <v>21</v>
      </c>
      <c r="B140" s="7">
        <v>32</v>
      </c>
      <c r="C140" s="7">
        <v>60</v>
      </c>
      <c r="D140">
        <f t="shared" ca="1" si="6"/>
        <v>21</v>
      </c>
      <c r="E140">
        <f t="shared" ca="1" si="5"/>
        <v>39</v>
      </c>
    </row>
    <row r="141" spans="1:8" x14ac:dyDescent="0.25">
      <c r="A141" s="8">
        <v>21</v>
      </c>
      <c r="B141" s="7">
        <v>34</v>
      </c>
      <c r="C141" s="7">
        <v>63</v>
      </c>
      <c r="D141">
        <f t="shared" ca="1" si="6"/>
        <v>63</v>
      </c>
      <c r="E141">
        <f t="shared" ca="1" si="5"/>
        <v>0</v>
      </c>
    </row>
    <row r="142" spans="1:8" x14ac:dyDescent="0.25">
      <c r="A142" s="8">
        <v>21</v>
      </c>
      <c r="B142" s="7">
        <v>36</v>
      </c>
      <c r="C142" s="7">
        <v>2516</v>
      </c>
      <c r="D142">
        <f t="shared" ca="1" si="6"/>
        <v>2516</v>
      </c>
      <c r="E142">
        <f t="shared" ca="1" si="5"/>
        <v>0</v>
      </c>
    </row>
    <row r="143" spans="1:8" x14ac:dyDescent="0.25">
      <c r="A143" s="8">
        <v>21</v>
      </c>
      <c r="B143" s="7">
        <v>40</v>
      </c>
      <c r="C143" s="7">
        <v>1116</v>
      </c>
      <c r="D143">
        <f t="shared" ca="1" si="6"/>
        <v>1116</v>
      </c>
      <c r="E143">
        <f t="shared" ca="1" si="5"/>
        <v>0</v>
      </c>
    </row>
    <row r="144" spans="1:8" x14ac:dyDescent="0.25">
      <c r="A144" s="8">
        <v>21</v>
      </c>
      <c r="B144" s="7">
        <v>48</v>
      </c>
      <c r="C144" s="7">
        <v>38</v>
      </c>
      <c r="D144">
        <f t="shared" ca="1" si="6"/>
        <v>38</v>
      </c>
      <c r="E144">
        <f t="shared" ca="1" si="5"/>
        <v>0</v>
      </c>
    </row>
    <row r="145" spans="1:8" x14ac:dyDescent="0.25">
      <c r="A145" s="7">
        <v>23</v>
      </c>
      <c r="B145" s="7">
        <v>16</v>
      </c>
      <c r="C145" s="7">
        <v>117</v>
      </c>
      <c r="D145">
        <f t="shared" ca="1" si="6"/>
        <v>117</v>
      </c>
      <c r="E145">
        <f t="shared" ca="1" si="5"/>
        <v>0</v>
      </c>
      <c r="F145" s="9">
        <f ca="1">-INDIRECT("'2011'!"&amp;ADDRESS(A145+2,A145+1))</f>
        <v>4792</v>
      </c>
      <c r="G145">
        <f>SUM(C145:C162)</f>
        <v>4793</v>
      </c>
      <c r="H145">
        <f ca="1">F145-G145</f>
        <v>-1</v>
      </c>
    </row>
    <row r="146" spans="1:8" x14ac:dyDescent="0.25">
      <c r="A146" s="7">
        <v>23</v>
      </c>
      <c r="B146" s="7">
        <v>18</v>
      </c>
      <c r="C146" s="7">
        <v>1</v>
      </c>
      <c r="D146">
        <f t="shared" ca="1" si="6"/>
        <v>1</v>
      </c>
      <c r="E146">
        <f t="shared" ca="1" si="5"/>
        <v>0</v>
      </c>
    </row>
    <row r="147" spans="1:8" x14ac:dyDescent="0.25">
      <c r="A147" s="7">
        <v>23</v>
      </c>
      <c r="B147" s="7">
        <v>20</v>
      </c>
      <c r="C147" s="7">
        <v>76</v>
      </c>
      <c r="D147">
        <f t="shared" ca="1" si="6"/>
        <v>73</v>
      </c>
      <c r="E147">
        <f t="shared" ca="1" si="5"/>
        <v>3</v>
      </c>
    </row>
    <row r="148" spans="1:8" x14ac:dyDescent="0.25">
      <c r="A148" s="7">
        <v>23</v>
      </c>
      <c r="B148" s="7">
        <v>22</v>
      </c>
      <c r="C148" s="7">
        <v>246</v>
      </c>
      <c r="D148">
        <f t="shared" ca="1" si="6"/>
        <v>245</v>
      </c>
      <c r="E148">
        <f t="shared" ca="1" si="5"/>
        <v>1</v>
      </c>
    </row>
    <row r="149" spans="1:8" x14ac:dyDescent="0.25">
      <c r="A149" s="7">
        <v>23</v>
      </c>
      <c r="B149" s="7">
        <v>24</v>
      </c>
      <c r="C149" s="7">
        <v>34</v>
      </c>
      <c r="D149">
        <f t="shared" ca="1" si="6"/>
        <v>30</v>
      </c>
      <c r="E149">
        <f t="shared" ca="1" si="5"/>
        <v>4</v>
      </c>
    </row>
    <row r="150" spans="1:8" x14ac:dyDescent="0.25">
      <c r="A150" s="7">
        <v>23</v>
      </c>
      <c r="B150" s="7">
        <v>26</v>
      </c>
      <c r="C150" s="7">
        <v>210</v>
      </c>
      <c r="D150">
        <f t="shared" ca="1" si="6"/>
        <v>155</v>
      </c>
      <c r="E150">
        <f t="shared" ca="1" si="5"/>
        <v>55</v>
      </c>
    </row>
    <row r="151" spans="1:8" x14ac:dyDescent="0.25">
      <c r="A151" s="7">
        <v>23</v>
      </c>
      <c r="B151" s="7">
        <v>28</v>
      </c>
      <c r="C151" s="7">
        <v>299</v>
      </c>
      <c r="D151">
        <f t="shared" ca="1" si="6"/>
        <v>150</v>
      </c>
      <c r="E151">
        <f t="shared" ca="1" si="5"/>
        <v>149</v>
      </c>
    </row>
    <row r="152" spans="1:8" x14ac:dyDescent="0.25">
      <c r="A152" s="7">
        <v>23</v>
      </c>
      <c r="B152" s="7">
        <v>30</v>
      </c>
      <c r="C152" s="7">
        <v>673</v>
      </c>
      <c r="D152">
        <f t="shared" ca="1" si="6"/>
        <v>673</v>
      </c>
      <c r="E152">
        <f t="shared" ca="1" si="5"/>
        <v>0</v>
      </c>
    </row>
    <row r="153" spans="1:8" x14ac:dyDescent="0.25">
      <c r="A153" s="7">
        <v>23</v>
      </c>
      <c r="B153" s="7">
        <v>32</v>
      </c>
      <c r="C153" s="7">
        <v>2</v>
      </c>
      <c r="D153">
        <f t="shared" ca="1" si="6"/>
        <v>2</v>
      </c>
      <c r="E153">
        <f t="shared" ca="1" si="5"/>
        <v>0</v>
      </c>
    </row>
    <row r="154" spans="1:8" x14ac:dyDescent="0.25">
      <c r="A154" s="7">
        <v>23</v>
      </c>
      <c r="B154" s="7">
        <v>34</v>
      </c>
      <c r="C154" s="7">
        <v>42</v>
      </c>
      <c r="D154">
        <f t="shared" ca="1" si="6"/>
        <v>17</v>
      </c>
      <c r="E154">
        <f t="shared" ca="1" si="5"/>
        <v>25</v>
      </c>
    </row>
    <row r="155" spans="1:8" x14ac:dyDescent="0.25">
      <c r="A155" s="7">
        <v>23</v>
      </c>
      <c r="B155" s="7">
        <v>36</v>
      </c>
      <c r="C155" s="7">
        <v>37</v>
      </c>
      <c r="D155">
        <f t="shared" ca="1" si="6"/>
        <v>19</v>
      </c>
      <c r="E155">
        <f t="shared" ca="1" si="5"/>
        <v>18</v>
      </c>
    </row>
    <row r="156" spans="1:8" x14ac:dyDescent="0.25">
      <c r="A156" s="7">
        <v>23</v>
      </c>
      <c r="B156" s="7">
        <v>38</v>
      </c>
      <c r="C156" s="7">
        <v>1646</v>
      </c>
      <c r="D156">
        <f t="shared" ca="1" si="6"/>
        <v>1646</v>
      </c>
      <c r="E156">
        <f t="shared" ca="1" si="5"/>
        <v>0</v>
      </c>
    </row>
    <row r="157" spans="1:8" x14ac:dyDescent="0.25">
      <c r="A157" s="7">
        <v>23</v>
      </c>
      <c r="B157" s="7">
        <v>40</v>
      </c>
      <c r="C157" s="7">
        <v>15</v>
      </c>
      <c r="D157">
        <f t="shared" ca="1" si="6"/>
        <v>9</v>
      </c>
      <c r="E157">
        <f t="shared" ca="1" si="5"/>
        <v>6</v>
      </c>
    </row>
    <row r="158" spans="1:8" x14ac:dyDescent="0.25">
      <c r="A158" s="7">
        <v>23</v>
      </c>
      <c r="B158" s="7">
        <v>42</v>
      </c>
      <c r="C158" s="7">
        <v>470</v>
      </c>
      <c r="D158">
        <f t="shared" ca="1" si="6"/>
        <v>470</v>
      </c>
      <c r="E158">
        <f t="shared" ca="1" si="5"/>
        <v>0</v>
      </c>
    </row>
    <row r="159" spans="1:8" x14ac:dyDescent="0.25">
      <c r="A159" s="7">
        <v>23</v>
      </c>
      <c r="B159" s="7">
        <v>44</v>
      </c>
      <c r="C159" s="7">
        <v>339</v>
      </c>
      <c r="D159">
        <f t="shared" ca="1" si="6"/>
        <v>339</v>
      </c>
      <c r="E159">
        <f t="shared" ca="1" si="5"/>
        <v>0</v>
      </c>
    </row>
    <row r="160" spans="1:8" x14ac:dyDescent="0.25">
      <c r="A160" s="7">
        <v>23</v>
      </c>
      <c r="B160" s="7">
        <v>48</v>
      </c>
      <c r="C160" s="7">
        <v>1</v>
      </c>
      <c r="D160">
        <f t="shared" ca="1" si="6"/>
        <v>1</v>
      </c>
      <c r="E160">
        <f t="shared" ca="1" si="5"/>
        <v>0</v>
      </c>
    </row>
    <row r="161" spans="1:8" x14ac:dyDescent="0.25">
      <c r="A161" s="7">
        <v>23</v>
      </c>
      <c r="B161" s="7">
        <v>50</v>
      </c>
      <c r="C161" s="7">
        <v>103</v>
      </c>
      <c r="D161">
        <f t="shared" ca="1" si="6"/>
        <v>103</v>
      </c>
      <c r="E161">
        <f t="shared" ca="1" si="5"/>
        <v>0</v>
      </c>
    </row>
    <row r="162" spans="1:8" x14ac:dyDescent="0.25">
      <c r="A162" s="7">
        <v>23</v>
      </c>
      <c r="B162" s="7">
        <v>52</v>
      </c>
      <c r="C162" s="7">
        <v>482</v>
      </c>
      <c r="D162">
        <f t="shared" ca="1" si="6"/>
        <v>482</v>
      </c>
      <c r="E162">
        <f t="shared" ca="1" si="5"/>
        <v>0</v>
      </c>
    </row>
    <row r="163" spans="1:8" x14ac:dyDescent="0.25">
      <c r="A163" s="8">
        <v>25</v>
      </c>
      <c r="B163" s="7">
        <v>16</v>
      </c>
      <c r="C163" s="7">
        <v>75</v>
      </c>
      <c r="D163">
        <f t="shared" ca="1" si="6"/>
        <v>50</v>
      </c>
      <c r="E163">
        <f t="shared" ca="1" si="5"/>
        <v>25</v>
      </c>
      <c r="F163" s="9">
        <f ca="1">-INDIRECT("'2011'!"&amp;ADDRESS(A163+2,A163+1))</f>
        <v>1970</v>
      </c>
      <c r="G163">
        <f>SUM(C163:C172)</f>
        <v>1970</v>
      </c>
      <c r="H163">
        <f ca="1">F163-G163</f>
        <v>0</v>
      </c>
    </row>
    <row r="164" spans="1:8" x14ac:dyDescent="0.25">
      <c r="A164" s="8">
        <v>25</v>
      </c>
      <c r="B164" s="7">
        <v>18</v>
      </c>
      <c r="C164" s="7">
        <v>337</v>
      </c>
      <c r="D164">
        <f t="shared" ca="1" si="6"/>
        <v>337</v>
      </c>
      <c r="E164">
        <f t="shared" ca="1" si="5"/>
        <v>0</v>
      </c>
    </row>
    <row r="165" spans="1:8" x14ac:dyDescent="0.25">
      <c r="A165" s="8">
        <v>25</v>
      </c>
      <c r="B165" s="7">
        <v>20</v>
      </c>
      <c r="C165" s="7">
        <v>88</v>
      </c>
      <c r="D165">
        <f t="shared" ca="1" si="6"/>
        <v>88</v>
      </c>
      <c r="E165">
        <f t="shared" ca="1" si="5"/>
        <v>0</v>
      </c>
    </row>
    <row r="166" spans="1:8" x14ac:dyDescent="0.25">
      <c r="A166" s="8">
        <v>25</v>
      </c>
      <c r="B166" s="7">
        <v>24</v>
      </c>
      <c r="C166" s="7">
        <v>15</v>
      </c>
      <c r="D166">
        <f t="shared" ca="1" si="6"/>
        <v>15</v>
      </c>
      <c r="E166">
        <f t="shared" ca="1" si="5"/>
        <v>0</v>
      </c>
    </row>
    <row r="167" spans="1:8" x14ac:dyDescent="0.25">
      <c r="A167" s="8">
        <v>25</v>
      </c>
      <c r="B167" s="7">
        <v>26</v>
      </c>
      <c r="C167" s="7">
        <v>273</v>
      </c>
      <c r="D167">
        <f t="shared" ca="1" si="6"/>
        <v>273</v>
      </c>
      <c r="E167">
        <f t="shared" ca="1" si="5"/>
        <v>0</v>
      </c>
    </row>
    <row r="168" spans="1:8" x14ac:dyDescent="0.25">
      <c r="A168" s="8">
        <v>25</v>
      </c>
      <c r="B168" s="7">
        <v>32</v>
      </c>
      <c r="C168" s="7">
        <v>427</v>
      </c>
      <c r="D168">
        <f t="shared" ca="1" si="6"/>
        <v>414</v>
      </c>
      <c r="E168">
        <f t="shared" ca="1" si="5"/>
        <v>13</v>
      </c>
    </row>
    <row r="169" spans="1:8" x14ac:dyDescent="0.25">
      <c r="A169" s="8">
        <v>25</v>
      </c>
      <c r="B169" s="7">
        <v>34</v>
      </c>
      <c r="C169" s="7">
        <v>54</v>
      </c>
      <c r="D169">
        <f t="shared" ca="1" si="6"/>
        <v>54</v>
      </c>
      <c r="E169">
        <f t="shared" ca="1" si="5"/>
        <v>0</v>
      </c>
    </row>
    <row r="170" spans="1:8" x14ac:dyDescent="0.25">
      <c r="A170" s="8">
        <v>25</v>
      </c>
      <c r="B170" s="7">
        <v>36</v>
      </c>
      <c r="C170" s="7">
        <v>17</v>
      </c>
      <c r="D170">
        <f t="shared" ca="1" si="6"/>
        <v>17</v>
      </c>
      <c r="E170">
        <f t="shared" ca="1" si="5"/>
        <v>0</v>
      </c>
    </row>
    <row r="171" spans="1:8" x14ac:dyDescent="0.25">
      <c r="A171" s="8">
        <v>25</v>
      </c>
      <c r="B171" s="7">
        <v>40</v>
      </c>
      <c r="C171" s="7">
        <v>653</v>
      </c>
      <c r="D171">
        <f t="shared" ca="1" si="6"/>
        <v>653</v>
      </c>
      <c r="E171">
        <f t="shared" ca="1" si="5"/>
        <v>0</v>
      </c>
    </row>
    <row r="172" spans="1:8" x14ac:dyDescent="0.25">
      <c r="A172" s="8">
        <v>25</v>
      </c>
      <c r="B172" s="7">
        <v>48</v>
      </c>
      <c r="C172" s="7">
        <v>31</v>
      </c>
      <c r="D172">
        <f t="shared" ca="1" si="6"/>
        <v>31</v>
      </c>
      <c r="E172">
        <f t="shared" ca="1" si="5"/>
        <v>0</v>
      </c>
    </row>
    <row r="173" spans="1:8" x14ac:dyDescent="0.25">
      <c r="A173" s="7">
        <v>27</v>
      </c>
      <c r="B173" s="7">
        <v>16</v>
      </c>
      <c r="C173" s="7">
        <v>52</v>
      </c>
      <c r="D173">
        <f t="shared" ca="1" si="6"/>
        <v>51</v>
      </c>
      <c r="E173">
        <f t="shared" ca="1" si="5"/>
        <v>1</v>
      </c>
      <c r="F173" s="9">
        <f ca="1">-INDIRECT("'2011'!"&amp;ADDRESS(A173+2,A173+1))</f>
        <v>2241</v>
      </c>
      <c r="G173">
        <f>SUM(C173:C189)</f>
        <v>2241</v>
      </c>
      <c r="H173">
        <f ca="1">F173-G173</f>
        <v>0</v>
      </c>
    </row>
    <row r="174" spans="1:8" x14ac:dyDescent="0.25">
      <c r="A174" s="7">
        <v>27</v>
      </c>
      <c r="B174" s="7">
        <v>20</v>
      </c>
      <c r="C174" s="7">
        <v>71</v>
      </c>
      <c r="D174">
        <f t="shared" ca="1" si="6"/>
        <v>37</v>
      </c>
      <c r="E174">
        <f t="shared" ca="1" si="5"/>
        <v>34</v>
      </c>
    </row>
    <row r="175" spans="1:8" x14ac:dyDescent="0.25">
      <c r="A175" s="7">
        <v>27</v>
      </c>
      <c r="B175" s="7">
        <v>22</v>
      </c>
      <c r="C175" s="7">
        <v>298</v>
      </c>
      <c r="D175">
        <f t="shared" ca="1" si="6"/>
        <v>298</v>
      </c>
      <c r="E175">
        <f t="shared" ca="1" si="5"/>
        <v>0</v>
      </c>
    </row>
    <row r="176" spans="1:8" x14ac:dyDescent="0.25">
      <c r="A176" s="7">
        <v>27</v>
      </c>
      <c r="B176" s="7">
        <v>24</v>
      </c>
      <c r="C176" s="7">
        <v>19</v>
      </c>
      <c r="D176">
        <f t="shared" ca="1" si="6"/>
        <v>12</v>
      </c>
      <c r="E176">
        <f t="shared" ca="1" si="5"/>
        <v>7</v>
      </c>
    </row>
    <row r="177" spans="1:8" x14ac:dyDescent="0.25">
      <c r="A177" s="7">
        <v>27</v>
      </c>
      <c r="B177" s="7">
        <v>26</v>
      </c>
      <c r="C177" s="7">
        <v>76</v>
      </c>
      <c r="D177">
        <f t="shared" ca="1" si="6"/>
        <v>76</v>
      </c>
      <c r="E177">
        <f t="shared" ca="1" si="5"/>
        <v>0</v>
      </c>
    </row>
    <row r="178" spans="1:8" x14ac:dyDescent="0.25">
      <c r="A178" s="7">
        <v>27</v>
      </c>
      <c r="B178" s="7">
        <v>28</v>
      </c>
      <c r="C178" s="7">
        <v>199</v>
      </c>
      <c r="D178">
        <f t="shared" ca="1" si="6"/>
        <v>89</v>
      </c>
      <c r="E178">
        <f t="shared" ca="1" si="5"/>
        <v>110</v>
      </c>
    </row>
    <row r="179" spans="1:8" x14ac:dyDescent="0.25">
      <c r="A179" s="7">
        <v>27</v>
      </c>
      <c r="B179" s="7">
        <v>30</v>
      </c>
      <c r="C179" s="7">
        <v>159</v>
      </c>
      <c r="D179">
        <f t="shared" ca="1" si="6"/>
        <v>159</v>
      </c>
      <c r="E179">
        <f t="shared" ca="1" si="5"/>
        <v>0</v>
      </c>
    </row>
    <row r="180" spans="1:8" x14ac:dyDescent="0.25">
      <c r="A180" s="7">
        <v>27</v>
      </c>
      <c r="B180" s="7">
        <v>32</v>
      </c>
      <c r="C180" s="7">
        <v>2</v>
      </c>
      <c r="D180">
        <f t="shared" ca="1" si="6"/>
        <v>1</v>
      </c>
      <c r="E180">
        <f t="shared" ca="1" si="5"/>
        <v>1</v>
      </c>
    </row>
    <row r="181" spans="1:8" x14ac:dyDescent="0.25">
      <c r="A181" s="7">
        <v>27</v>
      </c>
      <c r="B181" s="7">
        <v>34</v>
      </c>
      <c r="C181" s="7">
        <v>390</v>
      </c>
      <c r="D181">
        <f t="shared" ca="1" si="6"/>
        <v>388</v>
      </c>
      <c r="E181">
        <f t="shared" ca="1" si="5"/>
        <v>2</v>
      </c>
    </row>
    <row r="182" spans="1:8" x14ac:dyDescent="0.25">
      <c r="A182" s="7">
        <v>27</v>
      </c>
      <c r="B182" s="7">
        <v>36</v>
      </c>
      <c r="C182" s="7">
        <v>134</v>
      </c>
      <c r="D182">
        <f t="shared" ca="1" si="6"/>
        <v>129</v>
      </c>
      <c r="E182">
        <f t="shared" ca="1" si="5"/>
        <v>5</v>
      </c>
    </row>
    <row r="183" spans="1:8" x14ac:dyDescent="0.25">
      <c r="A183" s="7">
        <v>27</v>
      </c>
      <c r="B183" s="7">
        <v>38</v>
      </c>
      <c r="C183" s="7">
        <v>47</v>
      </c>
      <c r="D183">
        <f t="shared" ca="1" si="6"/>
        <v>47</v>
      </c>
      <c r="E183">
        <f t="shared" ca="1" si="5"/>
        <v>0</v>
      </c>
    </row>
    <row r="184" spans="1:8" x14ac:dyDescent="0.25">
      <c r="A184" s="7">
        <v>27</v>
      </c>
      <c r="B184" s="7">
        <v>40</v>
      </c>
      <c r="C184" s="7">
        <v>21</v>
      </c>
      <c r="D184">
        <f t="shared" ca="1" si="6"/>
        <v>2</v>
      </c>
      <c r="E184">
        <f t="shared" ca="1" si="5"/>
        <v>19</v>
      </c>
    </row>
    <row r="185" spans="1:8" x14ac:dyDescent="0.25">
      <c r="A185" s="7">
        <v>27</v>
      </c>
      <c r="B185" s="7">
        <v>42</v>
      </c>
      <c r="C185" s="7">
        <v>456</v>
      </c>
      <c r="D185">
        <f t="shared" ca="1" si="6"/>
        <v>456</v>
      </c>
      <c r="E185">
        <f t="shared" ca="1" si="5"/>
        <v>0</v>
      </c>
    </row>
    <row r="186" spans="1:8" x14ac:dyDescent="0.25">
      <c r="A186" s="7">
        <v>27</v>
      </c>
      <c r="B186" s="7">
        <v>44</v>
      </c>
      <c r="C186" s="7">
        <v>50</v>
      </c>
      <c r="D186">
        <f t="shared" ca="1" si="6"/>
        <v>50</v>
      </c>
      <c r="E186">
        <f t="shared" ca="1" si="5"/>
        <v>0</v>
      </c>
    </row>
    <row r="187" spans="1:8" x14ac:dyDescent="0.25">
      <c r="A187" s="7">
        <v>27</v>
      </c>
      <c r="B187" s="7">
        <v>48</v>
      </c>
      <c r="C187" s="7">
        <v>12</v>
      </c>
      <c r="D187">
        <f t="shared" ca="1" si="6"/>
        <v>11</v>
      </c>
      <c r="E187">
        <f t="shared" ca="1" si="5"/>
        <v>1</v>
      </c>
    </row>
    <row r="188" spans="1:8" x14ac:dyDescent="0.25">
      <c r="A188" s="7">
        <v>27</v>
      </c>
      <c r="B188" s="7">
        <v>50</v>
      </c>
      <c r="C188" s="7">
        <v>24</v>
      </c>
      <c r="D188">
        <f t="shared" ca="1" si="6"/>
        <v>24</v>
      </c>
      <c r="E188">
        <f t="shared" ca="1" si="5"/>
        <v>0</v>
      </c>
    </row>
    <row r="189" spans="1:8" x14ac:dyDescent="0.25">
      <c r="A189" s="7">
        <v>27</v>
      </c>
      <c r="B189" s="7">
        <v>56</v>
      </c>
      <c r="C189" s="7">
        <v>231</v>
      </c>
      <c r="D189">
        <f t="shared" ca="1" si="6"/>
        <v>231</v>
      </c>
      <c r="E189">
        <f t="shared" ca="1" si="5"/>
        <v>0</v>
      </c>
    </row>
    <row r="190" spans="1:8" x14ac:dyDescent="0.25">
      <c r="A190" s="8">
        <v>29</v>
      </c>
      <c r="B190" s="7">
        <v>16</v>
      </c>
      <c r="C190" s="7">
        <v>28</v>
      </c>
      <c r="D190">
        <f t="shared" ca="1" si="6"/>
        <v>28</v>
      </c>
      <c r="E190">
        <f t="shared" ca="1" si="5"/>
        <v>0</v>
      </c>
      <c r="F190" s="9">
        <f ca="1">-INDIRECT("'2011'!"&amp;ADDRESS(A190+2,A190+1))</f>
        <v>1593</v>
      </c>
      <c r="G190">
        <f>SUM(C190:C207)</f>
        <v>1593</v>
      </c>
      <c r="H190">
        <f ca="1">F190-G190</f>
        <v>0</v>
      </c>
    </row>
    <row r="191" spans="1:8" x14ac:dyDescent="0.25">
      <c r="A191" s="8">
        <v>29</v>
      </c>
      <c r="B191" s="7">
        <v>18</v>
      </c>
      <c r="C191" s="7">
        <v>84</v>
      </c>
      <c r="D191">
        <f t="shared" ca="1" si="6"/>
        <v>84</v>
      </c>
      <c r="E191">
        <f t="shared" ca="1" si="5"/>
        <v>0</v>
      </c>
    </row>
    <row r="192" spans="1:8" x14ac:dyDescent="0.25">
      <c r="A192" s="8">
        <v>29</v>
      </c>
      <c r="B192" s="7">
        <v>20</v>
      </c>
      <c r="C192" s="7">
        <v>64</v>
      </c>
      <c r="D192">
        <f t="shared" ca="1" si="6"/>
        <v>64</v>
      </c>
      <c r="E192">
        <f t="shared" ca="1" si="5"/>
        <v>0</v>
      </c>
    </row>
    <row r="193" spans="1:8" x14ac:dyDescent="0.25">
      <c r="A193" s="8">
        <v>29</v>
      </c>
      <c r="B193" s="7">
        <v>22</v>
      </c>
      <c r="C193" s="7">
        <v>10</v>
      </c>
      <c r="D193">
        <f t="shared" ca="1" si="6"/>
        <v>10</v>
      </c>
      <c r="E193">
        <f t="shared" ca="1" si="5"/>
        <v>0</v>
      </c>
    </row>
    <row r="194" spans="1:8" x14ac:dyDescent="0.25">
      <c r="A194" s="8">
        <v>29</v>
      </c>
      <c r="B194" s="7">
        <v>24</v>
      </c>
      <c r="C194" s="7">
        <v>30</v>
      </c>
      <c r="D194">
        <f t="shared" ca="1" si="6"/>
        <v>14</v>
      </c>
      <c r="E194">
        <f t="shared" ca="1" si="5"/>
        <v>16</v>
      </c>
    </row>
    <row r="195" spans="1:8" x14ac:dyDescent="0.25">
      <c r="A195" s="8">
        <v>29</v>
      </c>
      <c r="B195" s="7">
        <v>26</v>
      </c>
      <c r="C195" s="7">
        <v>138</v>
      </c>
      <c r="D195">
        <f t="shared" ca="1" si="6"/>
        <v>138</v>
      </c>
      <c r="E195">
        <f t="shared" ref="E195:E258" ca="1" si="7">C195-D195</f>
        <v>0</v>
      </c>
    </row>
    <row r="196" spans="1:8" x14ac:dyDescent="0.25">
      <c r="A196" s="8">
        <v>29</v>
      </c>
      <c r="B196" s="7">
        <v>28</v>
      </c>
      <c r="C196" s="7">
        <v>10</v>
      </c>
      <c r="D196">
        <f t="shared" ca="1" si="6"/>
        <v>10</v>
      </c>
      <c r="E196">
        <f t="shared" ca="1" si="7"/>
        <v>0</v>
      </c>
    </row>
    <row r="197" spans="1:8" x14ac:dyDescent="0.25">
      <c r="A197" s="8">
        <v>29</v>
      </c>
      <c r="B197" s="7">
        <v>30</v>
      </c>
      <c r="C197" s="7">
        <v>358</v>
      </c>
      <c r="D197">
        <f t="shared" ca="1" si="6"/>
        <v>358</v>
      </c>
      <c r="E197">
        <f t="shared" ca="1" si="7"/>
        <v>0</v>
      </c>
    </row>
    <row r="198" spans="1:8" x14ac:dyDescent="0.25">
      <c r="A198" s="8">
        <v>29</v>
      </c>
      <c r="B198" s="7">
        <v>32</v>
      </c>
      <c r="C198" s="7">
        <v>5</v>
      </c>
      <c r="D198">
        <f t="shared" ca="1" si="6"/>
        <v>5</v>
      </c>
      <c r="E198">
        <f t="shared" ca="1" si="7"/>
        <v>0</v>
      </c>
    </row>
    <row r="199" spans="1:8" x14ac:dyDescent="0.25">
      <c r="A199" s="8">
        <v>29</v>
      </c>
      <c r="B199" s="7">
        <v>34</v>
      </c>
      <c r="C199" s="7">
        <v>6</v>
      </c>
      <c r="D199">
        <f t="shared" ca="1" si="6"/>
        <v>6</v>
      </c>
      <c r="E199">
        <f t="shared" ca="1" si="7"/>
        <v>0</v>
      </c>
    </row>
    <row r="200" spans="1:8" x14ac:dyDescent="0.25">
      <c r="A200" s="8">
        <v>29</v>
      </c>
      <c r="B200" s="7">
        <v>36</v>
      </c>
      <c r="C200" s="7">
        <v>125</v>
      </c>
      <c r="D200">
        <f t="shared" ca="1" si="6"/>
        <v>123</v>
      </c>
      <c r="E200">
        <f t="shared" ca="1" si="7"/>
        <v>2</v>
      </c>
    </row>
    <row r="201" spans="1:8" x14ac:dyDescent="0.25">
      <c r="A201" s="8">
        <v>29</v>
      </c>
      <c r="B201" s="7">
        <v>38</v>
      </c>
      <c r="C201" s="7">
        <v>21</v>
      </c>
      <c r="D201">
        <f t="shared" ca="1" si="6"/>
        <v>21</v>
      </c>
      <c r="E201">
        <f t="shared" ca="1" si="7"/>
        <v>0</v>
      </c>
    </row>
    <row r="202" spans="1:8" x14ac:dyDescent="0.25">
      <c r="A202" s="8">
        <v>29</v>
      </c>
      <c r="B202" s="7">
        <v>40</v>
      </c>
      <c r="C202" s="7">
        <v>201</v>
      </c>
      <c r="D202">
        <f t="shared" ca="1" si="6"/>
        <v>198</v>
      </c>
      <c r="E202">
        <f t="shared" ca="1" si="7"/>
        <v>3</v>
      </c>
    </row>
    <row r="203" spans="1:8" x14ac:dyDescent="0.25">
      <c r="A203" s="8">
        <v>29</v>
      </c>
      <c r="B203" s="7">
        <v>42</v>
      </c>
      <c r="C203" s="7">
        <v>33</v>
      </c>
      <c r="D203">
        <f t="shared" ref="D203:D266" ca="1" si="8">INDIRECT("'2011'!"&amp;ADDRESS(A203+2,B203+1))</f>
        <v>33</v>
      </c>
      <c r="E203">
        <f t="shared" ca="1" si="7"/>
        <v>0</v>
      </c>
    </row>
    <row r="204" spans="1:8" x14ac:dyDescent="0.25">
      <c r="A204" s="8">
        <v>29</v>
      </c>
      <c r="B204" s="7">
        <v>44</v>
      </c>
      <c r="C204" s="7">
        <v>453</v>
      </c>
      <c r="D204">
        <f t="shared" ca="1" si="8"/>
        <v>453</v>
      </c>
      <c r="E204">
        <f t="shared" ca="1" si="7"/>
        <v>0</v>
      </c>
    </row>
    <row r="205" spans="1:8" x14ac:dyDescent="0.25">
      <c r="A205" s="8">
        <v>29</v>
      </c>
      <c r="B205" s="7">
        <v>48</v>
      </c>
      <c r="C205" s="7">
        <v>5</v>
      </c>
      <c r="D205">
        <f t="shared" ca="1" si="8"/>
        <v>5</v>
      </c>
      <c r="E205">
        <f t="shared" ca="1" si="7"/>
        <v>0</v>
      </c>
    </row>
    <row r="206" spans="1:8" x14ac:dyDescent="0.25">
      <c r="A206" s="8">
        <v>29</v>
      </c>
      <c r="B206" s="7">
        <v>52</v>
      </c>
      <c r="C206" s="7">
        <v>17</v>
      </c>
      <c r="D206">
        <f t="shared" ca="1" si="8"/>
        <v>17</v>
      </c>
      <c r="E206">
        <f t="shared" ca="1" si="7"/>
        <v>0</v>
      </c>
    </row>
    <row r="207" spans="1:8" x14ac:dyDescent="0.25">
      <c r="A207" s="8">
        <v>29</v>
      </c>
      <c r="B207" s="7">
        <v>56</v>
      </c>
      <c r="C207" s="7">
        <v>5</v>
      </c>
      <c r="D207">
        <f t="shared" ca="1" si="8"/>
        <v>5</v>
      </c>
      <c r="E207">
        <f t="shared" ca="1" si="7"/>
        <v>0</v>
      </c>
    </row>
    <row r="208" spans="1:8" x14ac:dyDescent="0.25">
      <c r="A208" s="7">
        <v>31</v>
      </c>
      <c r="B208" s="7">
        <v>16</v>
      </c>
      <c r="C208" s="7">
        <v>43</v>
      </c>
      <c r="D208">
        <f t="shared" ca="1" si="8"/>
        <v>43</v>
      </c>
      <c r="E208">
        <f t="shared" ca="1" si="7"/>
        <v>0</v>
      </c>
      <c r="F208" s="9">
        <f ca="1">-INDIRECT("'2011'!"&amp;ADDRESS(A208+2,A208+1))</f>
        <v>1693</v>
      </c>
      <c r="G208">
        <f>SUM(C208:C226)</f>
        <v>1694</v>
      </c>
      <c r="H208">
        <f ca="1">F208-G208</f>
        <v>-1</v>
      </c>
    </row>
    <row r="209" spans="1:5" x14ac:dyDescent="0.25">
      <c r="A209" s="7">
        <v>31</v>
      </c>
      <c r="B209" s="7">
        <v>20</v>
      </c>
      <c r="C209" s="7">
        <v>29</v>
      </c>
      <c r="D209">
        <f t="shared" ca="1" si="8"/>
        <v>29</v>
      </c>
      <c r="E209">
        <f t="shared" ca="1" si="7"/>
        <v>0</v>
      </c>
    </row>
    <row r="210" spans="1:5" x14ac:dyDescent="0.25">
      <c r="A210" s="7">
        <v>31</v>
      </c>
      <c r="B210" s="7">
        <v>22</v>
      </c>
      <c r="C210" s="7">
        <v>76</v>
      </c>
      <c r="D210">
        <f t="shared" ca="1" si="8"/>
        <v>76</v>
      </c>
      <c r="E210">
        <f t="shared" ca="1" si="7"/>
        <v>0</v>
      </c>
    </row>
    <row r="211" spans="1:5" x14ac:dyDescent="0.25">
      <c r="A211" s="7">
        <v>31</v>
      </c>
      <c r="B211" s="7">
        <v>24</v>
      </c>
      <c r="C211" s="7">
        <v>12</v>
      </c>
      <c r="D211">
        <f t="shared" ca="1" si="8"/>
        <v>12</v>
      </c>
      <c r="E211">
        <f t="shared" ca="1" si="7"/>
        <v>0</v>
      </c>
    </row>
    <row r="212" spans="1:5" x14ac:dyDescent="0.25">
      <c r="A212" s="7">
        <v>31</v>
      </c>
      <c r="B212" s="7">
        <v>26</v>
      </c>
      <c r="C212" s="7">
        <v>52</v>
      </c>
      <c r="D212">
        <f t="shared" ca="1" si="8"/>
        <v>52</v>
      </c>
      <c r="E212">
        <f t="shared" ca="1" si="7"/>
        <v>0</v>
      </c>
    </row>
    <row r="213" spans="1:5" x14ac:dyDescent="0.25">
      <c r="A213" s="7">
        <v>31</v>
      </c>
      <c r="B213" s="7">
        <v>28</v>
      </c>
      <c r="C213" s="7">
        <v>75</v>
      </c>
      <c r="D213">
        <f t="shared" ca="1" si="8"/>
        <v>60</v>
      </c>
      <c r="E213">
        <f t="shared" ca="1" si="7"/>
        <v>15</v>
      </c>
    </row>
    <row r="214" spans="1:5" x14ac:dyDescent="0.25">
      <c r="A214" s="7">
        <v>31</v>
      </c>
      <c r="B214" s="7">
        <v>30</v>
      </c>
      <c r="C214" s="7">
        <v>288</v>
      </c>
      <c r="D214">
        <f t="shared" ca="1" si="8"/>
        <v>287</v>
      </c>
      <c r="E214">
        <f t="shared" ca="1" si="7"/>
        <v>1</v>
      </c>
    </row>
    <row r="215" spans="1:5" x14ac:dyDescent="0.25">
      <c r="A215" s="7">
        <v>31</v>
      </c>
      <c r="B215" s="7">
        <v>34</v>
      </c>
      <c r="C215" s="7">
        <v>2</v>
      </c>
      <c r="D215">
        <f t="shared" ca="1" si="8"/>
        <v>2</v>
      </c>
      <c r="E215">
        <f t="shared" ca="1" si="7"/>
        <v>0</v>
      </c>
    </row>
    <row r="216" spans="1:5" x14ac:dyDescent="0.25">
      <c r="A216" s="7">
        <v>31</v>
      </c>
      <c r="B216" s="7">
        <v>36</v>
      </c>
      <c r="C216" s="7">
        <v>5</v>
      </c>
      <c r="D216">
        <f t="shared" ca="1" si="8"/>
        <v>5</v>
      </c>
      <c r="E216">
        <f t="shared" ca="1" si="7"/>
        <v>0</v>
      </c>
    </row>
    <row r="217" spans="1:5" x14ac:dyDescent="0.25">
      <c r="A217" s="7">
        <v>31</v>
      </c>
      <c r="B217" s="7">
        <v>38</v>
      </c>
      <c r="C217" s="7">
        <v>128</v>
      </c>
      <c r="D217">
        <f t="shared" ca="1" si="8"/>
        <v>128</v>
      </c>
      <c r="E217">
        <f t="shared" ca="1" si="7"/>
        <v>0</v>
      </c>
    </row>
    <row r="218" spans="1:5" x14ac:dyDescent="0.25">
      <c r="A218" s="7">
        <v>31</v>
      </c>
      <c r="B218" s="7">
        <v>40</v>
      </c>
      <c r="C218" s="7">
        <v>4</v>
      </c>
      <c r="D218">
        <f t="shared" ca="1" si="8"/>
        <v>4</v>
      </c>
      <c r="E218">
        <f t="shared" ca="1" si="7"/>
        <v>0</v>
      </c>
    </row>
    <row r="219" spans="1:5" x14ac:dyDescent="0.25">
      <c r="A219" s="7">
        <v>31</v>
      </c>
      <c r="B219" s="7">
        <v>42</v>
      </c>
      <c r="C219" s="7">
        <v>133</v>
      </c>
      <c r="D219">
        <f t="shared" ca="1" si="8"/>
        <v>133</v>
      </c>
      <c r="E219">
        <f t="shared" ca="1" si="7"/>
        <v>0</v>
      </c>
    </row>
    <row r="220" spans="1:5" x14ac:dyDescent="0.25">
      <c r="A220" s="7">
        <v>31</v>
      </c>
      <c r="B220" s="7">
        <v>44</v>
      </c>
      <c r="C220" s="7">
        <v>76</v>
      </c>
      <c r="D220">
        <f t="shared" ca="1" si="8"/>
        <v>75</v>
      </c>
      <c r="E220">
        <f t="shared" ca="1" si="7"/>
        <v>1</v>
      </c>
    </row>
    <row r="221" spans="1:5" x14ac:dyDescent="0.25">
      <c r="A221" s="7">
        <v>31</v>
      </c>
      <c r="B221" s="7">
        <v>46</v>
      </c>
      <c r="C221" s="7">
        <v>530</v>
      </c>
      <c r="D221">
        <f t="shared" ca="1" si="8"/>
        <v>530</v>
      </c>
      <c r="E221">
        <f t="shared" ca="1" si="7"/>
        <v>0</v>
      </c>
    </row>
    <row r="222" spans="1:5" x14ac:dyDescent="0.25">
      <c r="A222" s="7">
        <v>31</v>
      </c>
      <c r="B222" s="7">
        <v>50</v>
      </c>
      <c r="C222" s="7">
        <v>3</v>
      </c>
      <c r="D222">
        <f t="shared" ca="1" si="8"/>
        <v>3</v>
      </c>
      <c r="E222">
        <f t="shared" ca="1" si="7"/>
        <v>0</v>
      </c>
    </row>
    <row r="223" spans="1:5" x14ac:dyDescent="0.25">
      <c r="A223" s="7">
        <v>31</v>
      </c>
      <c r="B223" s="7">
        <v>52</v>
      </c>
      <c r="C223" s="7">
        <v>2</v>
      </c>
      <c r="D223">
        <f t="shared" ca="1" si="8"/>
        <v>1</v>
      </c>
      <c r="E223">
        <f t="shared" ca="1" si="7"/>
        <v>1</v>
      </c>
    </row>
    <row r="224" spans="1:5" x14ac:dyDescent="0.25">
      <c r="A224" s="7">
        <v>31</v>
      </c>
      <c r="B224" s="7">
        <v>54</v>
      </c>
      <c r="C224" s="7">
        <v>52</v>
      </c>
      <c r="D224">
        <f t="shared" ca="1" si="8"/>
        <v>53</v>
      </c>
      <c r="E224">
        <f t="shared" ca="1" si="7"/>
        <v>-1</v>
      </c>
    </row>
    <row r="225" spans="1:8" x14ac:dyDescent="0.25">
      <c r="A225" s="7">
        <v>31</v>
      </c>
      <c r="B225" s="7">
        <v>58</v>
      </c>
      <c r="C225" s="7">
        <v>24</v>
      </c>
      <c r="D225">
        <f t="shared" ca="1" si="8"/>
        <v>24</v>
      </c>
      <c r="E225">
        <f t="shared" ca="1" si="7"/>
        <v>0</v>
      </c>
    </row>
    <row r="226" spans="1:8" x14ac:dyDescent="0.25">
      <c r="A226" s="7">
        <v>31</v>
      </c>
      <c r="B226" s="7">
        <v>60</v>
      </c>
      <c r="C226" s="7">
        <v>160</v>
      </c>
      <c r="D226">
        <f t="shared" ca="1" si="8"/>
        <v>160</v>
      </c>
      <c r="E226">
        <f t="shared" ca="1" si="7"/>
        <v>0</v>
      </c>
    </row>
    <row r="227" spans="1:8" x14ac:dyDescent="0.25">
      <c r="A227" s="8">
        <v>33</v>
      </c>
      <c r="B227" s="7">
        <v>32</v>
      </c>
      <c r="C227" s="7">
        <v>634</v>
      </c>
      <c r="D227">
        <f t="shared" ca="1" si="8"/>
        <v>632</v>
      </c>
      <c r="E227">
        <f t="shared" ca="1" si="7"/>
        <v>2</v>
      </c>
      <c r="F227" s="9">
        <f ca="1">-INDIRECT("'2011'!"&amp;ADDRESS(A227+2,A227+1))</f>
        <v>25814</v>
      </c>
      <c r="G227">
        <f>SUM(C227:C231)</f>
        <v>25816</v>
      </c>
      <c r="H227">
        <f ca="1">F227-G227</f>
        <v>-2</v>
      </c>
    </row>
    <row r="228" spans="1:8" x14ac:dyDescent="0.25">
      <c r="A228" s="8">
        <v>33</v>
      </c>
      <c r="B228" s="7">
        <v>34</v>
      </c>
      <c r="C228" s="7">
        <v>6236</v>
      </c>
      <c r="D228">
        <f t="shared" ca="1" si="8"/>
        <v>6236</v>
      </c>
      <c r="E228">
        <f t="shared" ca="1" si="7"/>
        <v>0</v>
      </c>
    </row>
    <row r="229" spans="1:8" x14ac:dyDescent="0.25">
      <c r="A229" s="8">
        <v>33</v>
      </c>
      <c r="B229" s="7">
        <v>36</v>
      </c>
      <c r="C229" s="7">
        <v>1225</v>
      </c>
      <c r="D229">
        <f t="shared" ca="1" si="8"/>
        <v>1225</v>
      </c>
      <c r="E229">
        <f t="shared" ca="1" si="7"/>
        <v>0</v>
      </c>
    </row>
    <row r="230" spans="1:8" x14ac:dyDescent="0.25">
      <c r="A230" s="8">
        <v>33</v>
      </c>
      <c r="B230" s="7">
        <v>40</v>
      </c>
      <c r="C230" s="7">
        <v>129</v>
      </c>
      <c r="D230">
        <f t="shared" ca="1" si="8"/>
        <v>129</v>
      </c>
      <c r="E230">
        <f t="shared" ca="1" si="7"/>
        <v>0</v>
      </c>
    </row>
    <row r="231" spans="1:8" x14ac:dyDescent="0.25">
      <c r="A231" s="8">
        <v>33</v>
      </c>
      <c r="B231" s="7">
        <v>48</v>
      </c>
      <c r="C231" s="7">
        <v>17592</v>
      </c>
      <c r="D231">
        <f t="shared" ca="1" si="8"/>
        <v>17592</v>
      </c>
      <c r="E231">
        <f t="shared" ca="1" si="7"/>
        <v>0</v>
      </c>
    </row>
    <row r="232" spans="1:8" x14ac:dyDescent="0.25">
      <c r="A232" s="7">
        <v>35</v>
      </c>
      <c r="B232" s="7">
        <v>32</v>
      </c>
      <c r="C232" s="7">
        <v>290</v>
      </c>
      <c r="D232">
        <f t="shared" ca="1" si="8"/>
        <v>289</v>
      </c>
      <c r="E232">
        <f t="shared" ca="1" si="7"/>
        <v>1</v>
      </c>
      <c r="F232" s="9">
        <f ca="1">-INDIRECT("'2011'!"&amp;ADDRESS(A232+2,A232+1))</f>
        <v>13172</v>
      </c>
      <c r="G232">
        <f>SUM(C232:C242)</f>
        <v>13174</v>
      </c>
      <c r="H232">
        <f ca="1">F232-G232</f>
        <v>-2</v>
      </c>
    </row>
    <row r="233" spans="1:8" x14ac:dyDescent="0.25">
      <c r="A233" s="7">
        <v>35</v>
      </c>
      <c r="B233" s="7">
        <v>34</v>
      </c>
      <c r="C233" s="7">
        <v>8</v>
      </c>
      <c r="D233">
        <f t="shared" ca="1" si="8"/>
        <v>6</v>
      </c>
      <c r="E233">
        <f t="shared" ca="1" si="7"/>
        <v>2</v>
      </c>
    </row>
    <row r="234" spans="1:8" x14ac:dyDescent="0.25">
      <c r="A234" s="7">
        <v>35</v>
      </c>
      <c r="B234" s="7">
        <v>36</v>
      </c>
      <c r="C234" s="7">
        <v>1621</v>
      </c>
      <c r="D234">
        <f t="shared" ca="1" si="8"/>
        <v>275</v>
      </c>
      <c r="E234">
        <f t="shared" ca="1" si="7"/>
        <v>1346</v>
      </c>
    </row>
    <row r="235" spans="1:8" x14ac:dyDescent="0.25">
      <c r="A235" s="7">
        <v>35</v>
      </c>
      <c r="B235" s="7">
        <v>38</v>
      </c>
      <c r="C235" s="7">
        <v>2141</v>
      </c>
      <c r="D235">
        <f t="shared" ca="1" si="8"/>
        <v>2141</v>
      </c>
      <c r="E235">
        <f t="shared" ca="1" si="7"/>
        <v>0</v>
      </c>
    </row>
    <row r="236" spans="1:8" x14ac:dyDescent="0.25">
      <c r="A236" s="7">
        <v>35</v>
      </c>
      <c r="B236" s="7">
        <v>40</v>
      </c>
      <c r="C236" s="7">
        <v>145</v>
      </c>
      <c r="D236">
        <f t="shared" ca="1" si="8"/>
        <v>83</v>
      </c>
      <c r="E236">
        <f t="shared" ca="1" si="7"/>
        <v>62</v>
      </c>
    </row>
    <row r="237" spans="1:8" x14ac:dyDescent="0.25">
      <c r="A237" s="7">
        <v>35</v>
      </c>
      <c r="B237" s="7">
        <v>42</v>
      </c>
      <c r="C237" s="7">
        <v>572</v>
      </c>
      <c r="D237">
        <f t="shared" ca="1" si="8"/>
        <v>572</v>
      </c>
      <c r="E237">
        <f t="shared" ca="1" si="7"/>
        <v>0</v>
      </c>
    </row>
    <row r="238" spans="1:8" x14ac:dyDescent="0.25">
      <c r="A238" s="7">
        <v>35</v>
      </c>
      <c r="B238" s="7">
        <v>44</v>
      </c>
      <c r="C238" s="7">
        <v>237</v>
      </c>
      <c r="D238">
        <f t="shared" ca="1" si="8"/>
        <v>237</v>
      </c>
      <c r="E238">
        <f t="shared" ca="1" si="7"/>
        <v>0</v>
      </c>
    </row>
    <row r="239" spans="1:8" x14ac:dyDescent="0.25">
      <c r="A239" s="7">
        <v>35</v>
      </c>
      <c r="B239" s="7">
        <v>48</v>
      </c>
      <c r="C239" s="7">
        <v>417</v>
      </c>
      <c r="D239">
        <f t="shared" ca="1" si="8"/>
        <v>10</v>
      </c>
      <c r="E239">
        <f t="shared" ca="1" si="7"/>
        <v>407</v>
      </c>
    </row>
    <row r="240" spans="1:8" x14ac:dyDescent="0.25">
      <c r="A240" s="7">
        <v>35</v>
      </c>
      <c r="B240" s="7">
        <v>50</v>
      </c>
      <c r="C240" s="7">
        <v>7712</v>
      </c>
      <c r="D240">
        <f t="shared" ca="1" si="8"/>
        <v>7712</v>
      </c>
      <c r="E240">
        <f t="shared" ca="1" si="7"/>
        <v>0</v>
      </c>
    </row>
    <row r="241" spans="1:8" x14ac:dyDescent="0.25">
      <c r="A241" s="7">
        <v>35</v>
      </c>
      <c r="B241" s="7">
        <v>52</v>
      </c>
      <c r="C241" s="7">
        <v>22</v>
      </c>
      <c r="D241">
        <f t="shared" ca="1" si="8"/>
        <v>22</v>
      </c>
      <c r="E241">
        <f t="shared" ca="1" si="7"/>
        <v>0</v>
      </c>
    </row>
    <row r="242" spans="1:8" x14ac:dyDescent="0.25">
      <c r="A242" s="7">
        <v>35</v>
      </c>
      <c r="B242" s="7">
        <v>56</v>
      </c>
      <c r="C242" s="7">
        <v>9</v>
      </c>
      <c r="D242">
        <f t="shared" ca="1" si="8"/>
        <v>9</v>
      </c>
      <c r="E242">
        <f t="shared" ca="1" si="7"/>
        <v>0</v>
      </c>
    </row>
    <row r="243" spans="1:8" x14ac:dyDescent="0.25">
      <c r="A243" s="8">
        <v>37</v>
      </c>
      <c r="B243" s="7">
        <v>32</v>
      </c>
      <c r="C243" s="7">
        <v>150</v>
      </c>
      <c r="D243">
        <f t="shared" ca="1" si="8"/>
        <v>145</v>
      </c>
      <c r="E243">
        <f t="shared" ca="1" si="7"/>
        <v>5</v>
      </c>
      <c r="F243" s="9">
        <f ca="1">-INDIRECT("'2011'!"&amp;ADDRESS(A243+2,A243+1))</f>
        <v>7643</v>
      </c>
      <c r="G243">
        <f>SUM(C243:C253)</f>
        <v>7645</v>
      </c>
      <c r="H243">
        <f ca="1">F243-G243</f>
        <v>-2</v>
      </c>
    </row>
    <row r="244" spans="1:8" x14ac:dyDescent="0.25">
      <c r="A244" s="8">
        <v>37</v>
      </c>
      <c r="B244" s="7">
        <v>34</v>
      </c>
      <c r="C244" s="7">
        <v>607</v>
      </c>
      <c r="D244">
        <f t="shared" ca="1" si="8"/>
        <v>607</v>
      </c>
      <c r="E244">
        <f t="shared" ca="1" si="7"/>
        <v>0</v>
      </c>
    </row>
    <row r="245" spans="1:8" x14ac:dyDescent="0.25">
      <c r="A245" s="8">
        <v>37</v>
      </c>
      <c r="B245" s="7">
        <v>36</v>
      </c>
      <c r="C245" s="7">
        <v>405</v>
      </c>
      <c r="D245">
        <f t="shared" ca="1" si="8"/>
        <v>403</v>
      </c>
      <c r="E245">
        <f t="shared" ca="1" si="7"/>
        <v>2</v>
      </c>
    </row>
    <row r="246" spans="1:8" x14ac:dyDescent="0.25">
      <c r="A246" s="8">
        <v>37</v>
      </c>
      <c r="B246" s="7">
        <v>38</v>
      </c>
      <c r="C246" s="7">
        <v>1193</v>
      </c>
      <c r="D246">
        <f t="shared" ca="1" si="8"/>
        <v>1193</v>
      </c>
      <c r="E246">
        <f t="shared" ca="1" si="7"/>
        <v>0</v>
      </c>
    </row>
    <row r="247" spans="1:8" x14ac:dyDescent="0.25">
      <c r="A247" s="8">
        <v>37</v>
      </c>
      <c r="B247" s="7">
        <v>40</v>
      </c>
      <c r="C247" s="7">
        <v>313</v>
      </c>
      <c r="D247">
        <f t="shared" ca="1" si="8"/>
        <v>45</v>
      </c>
      <c r="E247">
        <f t="shared" ca="1" si="7"/>
        <v>268</v>
      </c>
    </row>
    <row r="248" spans="1:8" x14ac:dyDescent="0.25">
      <c r="A248" s="8">
        <v>37</v>
      </c>
      <c r="B248" s="7">
        <v>42</v>
      </c>
      <c r="C248" s="7">
        <v>249</v>
      </c>
      <c r="D248">
        <f t="shared" ca="1" si="8"/>
        <v>249</v>
      </c>
      <c r="E248">
        <f t="shared" ca="1" si="7"/>
        <v>0</v>
      </c>
    </row>
    <row r="249" spans="1:8" x14ac:dyDescent="0.25">
      <c r="A249" s="8">
        <v>37</v>
      </c>
      <c r="B249" s="7">
        <v>44</v>
      </c>
      <c r="C249" s="7">
        <v>2</v>
      </c>
      <c r="D249">
        <f t="shared" ca="1" si="8"/>
        <v>2</v>
      </c>
      <c r="E249">
        <f t="shared" ca="1" si="7"/>
        <v>0</v>
      </c>
    </row>
    <row r="250" spans="1:8" x14ac:dyDescent="0.25">
      <c r="A250" s="8">
        <v>37</v>
      </c>
      <c r="B250" s="7">
        <v>48</v>
      </c>
      <c r="C250" s="7">
        <v>67</v>
      </c>
      <c r="D250">
        <f t="shared" ca="1" si="8"/>
        <v>37</v>
      </c>
      <c r="E250">
        <f t="shared" ca="1" si="7"/>
        <v>30</v>
      </c>
    </row>
    <row r="251" spans="1:8" x14ac:dyDescent="0.25">
      <c r="A251" s="8">
        <v>37</v>
      </c>
      <c r="B251" s="7">
        <v>50</v>
      </c>
      <c r="C251" s="7">
        <v>51</v>
      </c>
      <c r="D251">
        <f t="shared" ca="1" si="8"/>
        <v>51</v>
      </c>
      <c r="E251">
        <f t="shared" ca="1" si="7"/>
        <v>0</v>
      </c>
    </row>
    <row r="252" spans="1:8" x14ac:dyDescent="0.25">
      <c r="A252" s="8">
        <v>37</v>
      </c>
      <c r="B252" s="7">
        <v>52</v>
      </c>
      <c r="C252" s="7">
        <v>4606</v>
      </c>
      <c r="D252">
        <f t="shared" ca="1" si="8"/>
        <v>4606</v>
      </c>
      <c r="E252">
        <f t="shared" ca="1" si="7"/>
        <v>0</v>
      </c>
    </row>
    <row r="253" spans="1:8" x14ac:dyDescent="0.25">
      <c r="A253" s="8">
        <v>37</v>
      </c>
      <c r="B253" s="7">
        <v>56</v>
      </c>
      <c r="C253" s="7">
        <v>2</v>
      </c>
      <c r="D253">
        <f t="shared" ca="1" si="8"/>
        <v>2</v>
      </c>
      <c r="E253">
        <f t="shared" ca="1" si="7"/>
        <v>0</v>
      </c>
    </row>
    <row r="254" spans="1:8" x14ac:dyDescent="0.25">
      <c r="A254" s="7">
        <v>39</v>
      </c>
      <c r="B254" s="7">
        <v>32</v>
      </c>
      <c r="C254" s="7">
        <v>128</v>
      </c>
      <c r="D254">
        <f t="shared" ca="1" si="8"/>
        <v>128</v>
      </c>
      <c r="E254">
        <f t="shared" ca="1" si="7"/>
        <v>0</v>
      </c>
      <c r="F254" s="9">
        <f ca="1">-INDIRECT("'2011'!"&amp;ADDRESS(A254+2,A254+1))</f>
        <v>5801</v>
      </c>
      <c r="G254">
        <f>SUM(C254:C268)</f>
        <v>5804</v>
      </c>
      <c r="H254">
        <f ca="1">F254-G254</f>
        <v>-3</v>
      </c>
    </row>
    <row r="255" spans="1:8" x14ac:dyDescent="0.25">
      <c r="A255" s="7">
        <v>39</v>
      </c>
      <c r="B255" s="7">
        <v>34</v>
      </c>
      <c r="C255" s="7">
        <v>6</v>
      </c>
      <c r="D255">
        <f t="shared" ca="1" si="8"/>
        <v>6</v>
      </c>
      <c r="E255">
        <f t="shared" ca="1" si="7"/>
        <v>0</v>
      </c>
    </row>
    <row r="256" spans="1:8" x14ac:dyDescent="0.25">
      <c r="A256" s="7">
        <v>39</v>
      </c>
      <c r="B256" s="7">
        <v>36</v>
      </c>
      <c r="C256" s="7">
        <v>135</v>
      </c>
      <c r="D256">
        <f t="shared" ca="1" si="8"/>
        <v>131</v>
      </c>
      <c r="E256">
        <f t="shared" ca="1" si="7"/>
        <v>4</v>
      </c>
    </row>
    <row r="257" spans="1:8" x14ac:dyDescent="0.25">
      <c r="A257" s="7">
        <v>39</v>
      </c>
      <c r="B257" s="7">
        <v>38</v>
      </c>
      <c r="C257" s="7">
        <v>276</v>
      </c>
      <c r="D257">
        <f t="shared" ca="1" si="8"/>
        <v>273</v>
      </c>
      <c r="E257">
        <f t="shared" ca="1" si="7"/>
        <v>3</v>
      </c>
    </row>
    <row r="258" spans="1:8" x14ac:dyDescent="0.25">
      <c r="A258" s="7">
        <v>39</v>
      </c>
      <c r="B258" s="7">
        <v>40</v>
      </c>
      <c r="C258" s="7">
        <v>44</v>
      </c>
      <c r="D258">
        <f t="shared" ca="1" si="8"/>
        <v>43</v>
      </c>
      <c r="E258">
        <f t="shared" ca="1" si="7"/>
        <v>1</v>
      </c>
    </row>
    <row r="259" spans="1:8" x14ac:dyDescent="0.25">
      <c r="A259" s="7">
        <v>39</v>
      </c>
      <c r="B259" s="7">
        <v>42</v>
      </c>
      <c r="C259" s="7">
        <v>288</v>
      </c>
      <c r="D259">
        <f t="shared" ca="1" si="8"/>
        <v>243</v>
      </c>
      <c r="E259">
        <f t="shared" ref="E259:E314" ca="1" si="9">C259-D259</f>
        <v>45</v>
      </c>
    </row>
    <row r="260" spans="1:8" x14ac:dyDescent="0.25">
      <c r="A260" s="7">
        <v>39</v>
      </c>
      <c r="B260" s="7">
        <v>44</v>
      </c>
      <c r="C260" s="7">
        <v>325</v>
      </c>
      <c r="D260">
        <f t="shared" ca="1" si="8"/>
        <v>143</v>
      </c>
      <c r="E260">
        <f t="shared" ca="1" si="9"/>
        <v>182</v>
      </c>
    </row>
    <row r="261" spans="1:8" x14ac:dyDescent="0.25">
      <c r="A261" s="7">
        <v>39</v>
      </c>
      <c r="B261" s="7">
        <v>46</v>
      </c>
      <c r="C261" s="7">
        <v>625</v>
      </c>
      <c r="D261">
        <f t="shared" ca="1" si="8"/>
        <v>625</v>
      </c>
      <c r="E261">
        <f t="shared" ca="1" si="9"/>
        <v>0</v>
      </c>
    </row>
    <row r="262" spans="1:8" x14ac:dyDescent="0.25">
      <c r="A262" s="7">
        <v>39</v>
      </c>
      <c r="B262" s="7">
        <v>48</v>
      </c>
      <c r="C262" s="7">
        <v>4</v>
      </c>
      <c r="D262">
        <f t="shared" ca="1" si="8"/>
        <v>4</v>
      </c>
      <c r="E262">
        <f t="shared" ca="1" si="9"/>
        <v>0</v>
      </c>
    </row>
    <row r="263" spans="1:8" x14ac:dyDescent="0.25">
      <c r="A263" s="7">
        <v>39</v>
      </c>
      <c r="B263" s="7">
        <v>50</v>
      </c>
      <c r="C263" s="7">
        <v>44</v>
      </c>
      <c r="D263">
        <f t="shared" ca="1" si="8"/>
        <v>28</v>
      </c>
      <c r="E263">
        <f t="shared" ca="1" si="9"/>
        <v>16</v>
      </c>
    </row>
    <row r="264" spans="1:8" x14ac:dyDescent="0.25">
      <c r="A264" s="7">
        <v>39</v>
      </c>
      <c r="B264" s="7">
        <v>52</v>
      </c>
      <c r="C264" s="7">
        <v>14</v>
      </c>
      <c r="D264">
        <f t="shared" ca="1" si="8"/>
        <v>9</v>
      </c>
      <c r="E264">
        <f t="shared" ca="1" si="9"/>
        <v>5</v>
      </c>
    </row>
    <row r="265" spans="1:8" x14ac:dyDescent="0.25">
      <c r="A265" s="7">
        <v>39</v>
      </c>
      <c r="B265" s="7">
        <v>54</v>
      </c>
      <c r="C265" s="7">
        <v>3908</v>
      </c>
      <c r="D265">
        <f t="shared" ca="1" si="8"/>
        <v>3908</v>
      </c>
      <c r="E265">
        <f t="shared" ca="1" si="9"/>
        <v>0</v>
      </c>
    </row>
    <row r="266" spans="1:8" x14ac:dyDescent="0.25">
      <c r="A266" s="7">
        <v>39</v>
      </c>
      <c r="B266" s="7">
        <v>56</v>
      </c>
      <c r="C266" s="7">
        <v>2</v>
      </c>
      <c r="D266">
        <f t="shared" ca="1" si="8"/>
        <v>1</v>
      </c>
      <c r="E266">
        <f t="shared" ca="1" si="9"/>
        <v>1</v>
      </c>
    </row>
    <row r="267" spans="1:8" x14ac:dyDescent="0.25">
      <c r="A267" s="7">
        <v>39</v>
      </c>
      <c r="B267" s="7">
        <v>58</v>
      </c>
      <c r="C267" s="7">
        <v>4</v>
      </c>
      <c r="D267">
        <f t="shared" ref="D267:D314" ca="1" si="10">INDIRECT("'2011'!"&amp;ADDRESS(A267+2,B267+1))</f>
        <v>4</v>
      </c>
      <c r="E267">
        <f t="shared" ca="1" si="9"/>
        <v>0</v>
      </c>
    </row>
    <row r="268" spans="1:8" x14ac:dyDescent="0.25">
      <c r="A268" s="7">
        <v>39</v>
      </c>
      <c r="B268" s="7">
        <v>60</v>
      </c>
      <c r="C268" s="7">
        <v>1</v>
      </c>
      <c r="D268">
        <f t="shared" ca="1" si="10"/>
        <v>1</v>
      </c>
      <c r="E268">
        <f t="shared" ca="1" si="9"/>
        <v>0</v>
      </c>
    </row>
    <row r="269" spans="1:8" x14ac:dyDescent="0.25">
      <c r="A269" s="8">
        <v>41</v>
      </c>
      <c r="B269" s="7">
        <v>32</v>
      </c>
      <c r="C269" s="7">
        <v>97</v>
      </c>
      <c r="D269">
        <f t="shared" ca="1" si="10"/>
        <v>54</v>
      </c>
      <c r="E269">
        <f t="shared" ca="1" si="9"/>
        <v>43</v>
      </c>
      <c r="F269" s="9">
        <f ca="1">-INDIRECT("'2011'!"&amp;ADDRESS(A269+2,A269+1))</f>
        <v>3005</v>
      </c>
      <c r="G269">
        <f>SUM(C269:C276)</f>
        <v>3005</v>
      </c>
      <c r="H269">
        <f ca="1">F269-G269</f>
        <v>0</v>
      </c>
    </row>
    <row r="270" spans="1:8" x14ac:dyDescent="0.25">
      <c r="A270" s="8">
        <v>41</v>
      </c>
      <c r="B270" s="7">
        <v>34</v>
      </c>
      <c r="C270" s="7">
        <v>371</v>
      </c>
      <c r="D270">
        <f t="shared" ca="1" si="10"/>
        <v>371</v>
      </c>
      <c r="E270">
        <f t="shared" ca="1" si="9"/>
        <v>0</v>
      </c>
    </row>
    <row r="271" spans="1:8" x14ac:dyDescent="0.25">
      <c r="A271" s="8">
        <v>41</v>
      </c>
      <c r="B271" s="7">
        <v>36</v>
      </c>
      <c r="C271" s="7">
        <v>119</v>
      </c>
      <c r="D271">
        <f t="shared" ca="1" si="10"/>
        <v>119</v>
      </c>
      <c r="E271">
        <f t="shared" ca="1" si="9"/>
        <v>0</v>
      </c>
    </row>
    <row r="272" spans="1:8" x14ac:dyDescent="0.25">
      <c r="A272" s="8">
        <v>41</v>
      </c>
      <c r="B272" s="7">
        <v>40</v>
      </c>
      <c r="C272" s="7">
        <v>11</v>
      </c>
      <c r="D272">
        <f t="shared" ca="1" si="10"/>
        <v>11</v>
      </c>
      <c r="E272">
        <f t="shared" ca="1" si="9"/>
        <v>0</v>
      </c>
    </row>
    <row r="273" spans="1:8" x14ac:dyDescent="0.25">
      <c r="A273" s="8">
        <v>41</v>
      </c>
      <c r="B273" s="7">
        <v>42</v>
      </c>
      <c r="C273" s="7">
        <v>468</v>
      </c>
      <c r="D273">
        <f t="shared" ca="1" si="10"/>
        <v>468</v>
      </c>
      <c r="E273">
        <f t="shared" ca="1" si="9"/>
        <v>0</v>
      </c>
    </row>
    <row r="274" spans="1:8" x14ac:dyDescent="0.25">
      <c r="A274" s="8">
        <v>41</v>
      </c>
      <c r="B274" s="7">
        <v>48</v>
      </c>
      <c r="C274" s="7">
        <v>11</v>
      </c>
      <c r="D274">
        <f t="shared" ca="1" si="10"/>
        <v>6</v>
      </c>
      <c r="E274">
        <f t="shared" ca="1" si="9"/>
        <v>5</v>
      </c>
    </row>
    <row r="275" spans="1:8" x14ac:dyDescent="0.25">
      <c r="A275" s="8">
        <v>41</v>
      </c>
      <c r="B275" s="7">
        <v>50</v>
      </c>
      <c r="C275" s="7">
        <v>1</v>
      </c>
      <c r="D275">
        <f t="shared" ca="1" si="10"/>
        <v>1</v>
      </c>
      <c r="E275">
        <f t="shared" ca="1" si="9"/>
        <v>0</v>
      </c>
    </row>
    <row r="276" spans="1:8" x14ac:dyDescent="0.25">
      <c r="A276" s="8">
        <v>41</v>
      </c>
      <c r="B276" s="7">
        <v>56</v>
      </c>
      <c r="C276" s="7">
        <v>1927</v>
      </c>
      <c r="D276">
        <f t="shared" ca="1" si="10"/>
        <v>1927</v>
      </c>
      <c r="E276">
        <f t="shared" ca="1" si="9"/>
        <v>0</v>
      </c>
    </row>
    <row r="277" spans="1:8" x14ac:dyDescent="0.25">
      <c r="A277" s="7">
        <v>43</v>
      </c>
      <c r="B277" s="7">
        <v>32</v>
      </c>
      <c r="C277" s="7">
        <v>61</v>
      </c>
      <c r="D277">
        <f t="shared" ca="1" si="10"/>
        <v>61</v>
      </c>
      <c r="E277">
        <f t="shared" ca="1" si="9"/>
        <v>0</v>
      </c>
      <c r="F277" s="9">
        <f ca="1">-INDIRECT("'2011'!"&amp;ADDRESS(A277+2,A277+1))</f>
        <v>2910</v>
      </c>
      <c r="G277">
        <f>SUM(C277:C290)</f>
        <v>2910</v>
      </c>
      <c r="H277">
        <f ca="1">F277-G277</f>
        <v>0</v>
      </c>
    </row>
    <row r="278" spans="1:8" x14ac:dyDescent="0.25">
      <c r="A278" s="7">
        <v>43</v>
      </c>
      <c r="B278" s="7">
        <v>34</v>
      </c>
      <c r="C278" s="7">
        <v>2</v>
      </c>
      <c r="D278">
        <f t="shared" ca="1" si="10"/>
        <v>0</v>
      </c>
      <c r="E278">
        <f t="shared" ca="1" si="9"/>
        <v>2</v>
      </c>
    </row>
    <row r="279" spans="1:8" x14ac:dyDescent="0.25">
      <c r="A279" s="7">
        <v>43</v>
      </c>
      <c r="B279" s="7">
        <v>36</v>
      </c>
      <c r="C279" s="7">
        <v>119</v>
      </c>
      <c r="D279">
        <f t="shared" ca="1" si="10"/>
        <v>64</v>
      </c>
      <c r="E279">
        <f t="shared" ca="1" si="9"/>
        <v>55</v>
      </c>
    </row>
    <row r="280" spans="1:8" x14ac:dyDescent="0.25">
      <c r="A280" s="7">
        <v>43</v>
      </c>
      <c r="B280" s="7">
        <v>38</v>
      </c>
      <c r="C280" s="7">
        <v>278</v>
      </c>
      <c r="D280">
        <f t="shared" ca="1" si="10"/>
        <v>278</v>
      </c>
      <c r="E280">
        <f t="shared" ca="1" si="9"/>
        <v>0</v>
      </c>
    </row>
    <row r="281" spans="1:8" x14ac:dyDescent="0.25">
      <c r="A281" s="7">
        <v>43</v>
      </c>
      <c r="B281" s="7">
        <v>40</v>
      </c>
      <c r="C281" s="7">
        <v>25</v>
      </c>
      <c r="D281">
        <f t="shared" ca="1" si="10"/>
        <v>18</v>
      </c>
      <c r="E281">
        <f t="shared" ca="1" si="9"/>
        <v>7</v>
      </c>
    </row>
    <row r="282" spans="1:8" x14ac:dyDescent="0.25">
      <c r="A282" s="7">
        <v>43</v>
      </c>
      <c r="B282" s="7">
        <v>42</v>
      </c>
      <c r="C282" s="7">
        <v>106</v>
      </c>
      <c r="D282">
        <f t="shared" ca="1" si="10"/>
        <v>106</v>
      </c>
      <c r="E282">
        <f t="shared" ca="1" si="9"/>
        <v>0</v>
      </c>
    </row>
    <row r="283" spans="1:8" x14ac:dyDescent="0.25">
      <c r="A283" s="7">
        <v>43</v>
      </c>
      <c r="B283" s="7">
        <v>44</v>
      </c>
      <c r="C283" s="7">
        <v>294</v>
      </c>
      <c r="D283">
        <f t="shared" ca="1" si="10"/>
        <v>61</v>
      </c>
      <c r="E283">
        <f t="shared" ca="1" si="9"/>
        <v>233</v>
      </c>
    </row>
    <row r="284" spans="1:8" x14ac:dyDescent="0.25">
      <c r="A284" s="7">
        <v>43</v>
      </c>
      <c r="B284" s="7">
        <v>46</v>
      </c>
      <c r="C284" s="7">
        <v>274</v>
      </c>
      <c r="D284">
        <f t="shared" ca="1" si="10"/>
        <v>274</v>
      </c>
      <c r="E284">
        <f t="shared" ca="1" si="9"/>
        <v>0</v>
      </c>
    </row>
    <row r="285" spans="1:8" x14ac:dyDescent="0.25">
      <c r="A285" s="7">
        <v>43</v>
      </c>
      <c r="B285" s="7">
        <v>48</v>
      </c>
      <c r="C285" s="7">
        <v>5</v>
      </c>
      <c r="D285">
        <f t="shared" ca="1" si="10"/>
        <v>3</v>
      </c>
      <c r="E285">
        <f t="shared" ca="1" si="9"/>
        <v>2</v>
      </c>
    </row>
    <row r="286" spans="1:8" x14ac:dyDescent="0.25">
      <c r="A286" s="7">
        <v>43</v>
      </c>
      <c r="B286" s="7">
        <v>50</v>
      </c>
      <c r="C286" s="7">
        <v>14</v>
      </c>
      <c r="D286">
        <f t="shared" ca="1" si="10"/>
        <v>0</v>
      </c>
      <c r="E286">
        <f t="shared" ca="1" si="9"/>
        <v>14</v>
      </c>
    </row>
    <row r="287" spans="1:8" x14ac:dyDescent="0.25">
      <c r="A287" s="7">
        <v>43</v>
      </c>
      <c r="B287" s="7">
        <v>52</v>
      </c>
      <c r="C287" s="7">
        <v>9</v>
      </c>
      <c r="D287">
        <f t="shared" ca="1" si="10"/>
        <v>6</v>
      </c>
      <c r="E287">
        <f t="shared" ca="1" si="9"/>
        <v>3</v>
      </c>
    </row>
    <row r="288" spans="1:8" x14ac:dyDescent="0.25">
      <c r="A288" s="7">
        <v>43</v>
      </c>
      <c r="B288" s="7">
        <v>54</v>
      </c>
      <c r="C288" s="7">
        <v>1</v>
      </c>
      <c r="D288">
        <f t="shared" ca="1" si="10"/>
        <v>1</v>
      </c>
      <c r="E288">
        <f t="shared" ca="1" si="9"/>
        <v>0</v>
      </c>
    </row>
    <row r="289" spans="1:8" x14ac:dyDescent="0.25">
      <c r="A289" s="7">
        <v>43</v>
      </c>
      <c r="B289" s="7">
        <v>56</v>
      </c>
      <c r="C289" s="7">
        <v>13</v>
      </c>
      <c r="D289">
        <f t="shared" ca="1" si="10"/>
        <v>2</v>
      </c>
      <c r="E289">
        <f t="shared" ca="1" si="9"/>
        <v>11</v>
      </c>
    </row>
    <row r="290" spans="1:8" x14ac:dyDescent="0.25">
      <c r="A290" s="7">
        <v>43</v>
      </c>
      <c r="B290" s="7">
        <v>58</v>
      </c>
      <c r="C290" s="7">
        <v>1709</v>
      </c>
      <c r="D290">
        <f t="shared" ca="1" si="10"/>
        <v>1709</v>
      </c>
      <c r="E290">
        <f t="shared" ca="1" si="9"/>
        <v>0</v>
      </c>
    </row>
    <row r="291" spans="1:8" x14ac:dyDescent="0.25">
      <c r="A291" s="8">
        <v>45</v>
      </c>
      <c r="B291" s="7">
        <v>32</v>
      </c>
      <c r="C291" s="7">
        <v>33</v>
      </c>
      <c r="D291">
        <f t="shared" ca="1" si="10"/>
        <v>33</v>
      </c>
      <c r="E291">
        <f t="shared" ca="1" si="9"/>
        <v>0</v>
      </c>
      <c r="F291" s="9">
        <f ca="1">-INDIRECT("'2011'!"&amp;ADDRESS(A291+2,A291+1))</f>
        <v>1902</v>
      </c>
      <c r="G291">
        <f>SUM(C291:C301)</f>
        <v>1902</v>
      </c>
      <c r="H291">
        <f ca="1">F291-G291</f>
        <v>0</v>
      </c>
    </row>
    <row r="292" spans="1:8" x14ac:dyDescent="0.25">
      <c r="A292" s="8">
        <v>45</v>
      </c>
      <c r="B292" s="7">
        <v>34</v>
      </c>
      <c r="C292" s="7">
        <v>144</v>
      </c>
      <c r="D292">
        <f t="shared" ca="1" si="10"/>
        <v>144</v>
      </c>
      <c r="E292">
        <f t="shared" ca="1" si="9"/>
        <v>0</v>
      </c>
    </row>
    <row r="293" spans="1:8" x14ac:dyDescent="0.25">
      <c r="A293" s="8">
        <v>45</v>
      </c>
      <c r="B293" s="7">
        <v>36</v>
      </c>
      <c r="C293" s="7">
        <v>75</v>
      </c>
      <c r="D293">
        <f t="shared" ca="1" si="10"/>
        <v>75</v>
      </c>
      <c r="E293">
        <f t="shared" ca="1" si="9"/>
        <v>0</v>
      </c>
    </row>
    <row r="294" spans="1:8" x14ac:dyDescent="0.25">
      <c r="A294" s="8">
        <v>45</v>
      </c>
      <c r="B294" s="7">
        <v>40</v>
      </c>
      <c r="C294" s="7">
        <v>34</v>
      </c>
      <c r="D294">
        <f t="shared" ca="1" si="10"/>
        <v>7</v>
      </c>
      <c r="E294">
        <f t="shared" ca="1" si="9"/>
        <v>27</v>
      </c>
    </row>
    <row r="295" spans="1:8" x14ac:dyDescent="0.25">
      <c r="A295" s="8">
        <v>45</v>
      </c>
      <c r="B295" s="7">
        <v>42</v>
      </c>
      <c r="C295" s="7">
        <v>58</v>
      </c>
      <c r="D295">
        <f t="shared" ca="1" si="10"/>
        <v>58</v>
      </c>
      <c r="E295">
        <f t="shared" ca="1" si="9"/>
        <v>0</v>
      </c>
    </row>
    <row r="296" spans="1:8" x14ac:dyDescent="0.25">
      <c r="A296" s="8">
        <v>45</v>
      </c>
      <c r="B296" s="7">
        <v>46</v>
      </c>
      <c r="C296" s="7">
        <v>382</v>
      </c>
      <c r="D296">
        <f t="shared" ca="1" si="10"/>
        <v>382</v>
      </c>
      <c r="E296">
        <f t="shared" ca="1" si="9"/>
        <v>0</v>
      </c>
    </row>
    <row r="297" spans="1:8" x14ac:dyDescent="0.25">
      <c r="A297" s="8">
        <v>45</v>
      </c>
      <c r="B297" s="7">
        <v>48</v>
      </c>
      <c r="C297" s="7">
        <v>6</v>
      </c>
      <c r="D297">
        <f t="shared" ca="1" si="10"/>
        <v>6</v>
      </c>
      <c r="E297">
        <f t="shared" ca="1" si="9"/>
        <v>0</v>
      </c>
    </row>
    <row r="298" spans="1:8" x14ac:dyDescent="0.25">
      <c r="A298" s="8">
        <v>45</v>
      </c>
      <c r="B298" s="7">
        <v>50</v>
      </c>
      <c r="C298" s="7">
        <v>7</v>
      </c>
      <c r="D298">
        <f t="shared" ca="1" si="10"/>
        <v>7</v>
      </c>
      <c r="E298">
        <f t="shared" ca="1" si="9"/>
        <v>0</v>
      </c>
    </row>
    <row r="299" spans="1:8" x14ac:dyDescent="0.25">
      <c r="A299" s="8">
        <v>45</v>
      </c>
      <c r="B299" s="7">
        <v>52</v>
      </c>
      <c r="C299" s="7">
        <v>1</v>
      </c>
      <c r="D299">
        <f t="shared" ca="1" si="10"/>
        <v>0</v>
      </c>
      <c r="E299">
        <f t="shared" ca="1" si="9"/>
        <v>1</v>
      </c>
    </row>
    <row r="300" spans="1:8" x14ac:dyDescent="0.25">
      <c r="A300" s="8">
        <v>45</v>
      </c>
      <c r="B300" s="7">
        <v>58</v>
      </c>
      <c r="C300" s="7">
        <v>2</v>
      </c>
      <c r="D300">
        <f t="shared" ca="1" si="10"/>
        <v>2</v>
      </c>
      <c r="E300">
        <f t="shared" ca="1" si="9"/>
        <v>0</v>
      </c>
    </row>
    <row r="301" spans="1:8" x14ac:dyDescent="0.25">
      <c r="A301" s="8">
        <v>45</v>
      </c>
      <c r="B301" s="7">
        <v>60</v>
      </c>
      <c r="C301" s="7">
        <v>1160</v>
      </c>
      <c r="D301">
        <f t="shared" ca="1" si="10"/>
        <v>1160</v>
      </c>
      <c r="E301">
        <f t="shared" ca="1" si="9"/>
        <v>0</v>
      </c>
    </row>
    <row r="302" spans="1:8" x14ac:dyDescent="0.25">
      <c r="A302" s="7">
        <v>47</v>
      </c>
      <c r="B302" s="7">
        <v>32</v>
      </c>
      <c r="C302" s="7">
        <v>41</v>
      </c>
      <c r="D302">
        <f t="shared" ca="1" si="10"/>
        <v>41</v>
      </c>
      <c r="E302">
        <f t="shared" ca="1" si="9"/>
        <v>0</v>
      </c>
      <c r="F302" s="9">
        <f ca="1">-INDIRECT("'2011'!"&amp;ADDRESS(A302+2,A302+1))</f>
        <v>2047</v>
      </c>
      <c r="G302">
        <f>SUM(C302:C314)</f>
        <v>2047</v>
      </c>
      <c r="H302">
        <f ca="1">F302-G302</f>
        <v>0</v>
      </c>
    </row>
    <row r="303" spans="1:8" x14ac:dyDescent="0.25">
      <c r="A303" s="7">
        <v>47</v>
      </c>
      <c r="B303" s="7">
        <v>36</v>
      </c>
      <c r="C303" s="7">
        <v>39</v>
      </c>
      <c r="D303">
        <f t="shared" ca="1" si="10"/>
        <v>39</v>
      </c>
      <c r="E303">
        <f t="shared" ca="1" si="9"/>
        <v>0</v>
      </c>
    </row>
    <row r="304" spans="1:8" x14ac:dyDescent="0.25">
      <c r="A304" s="7">
        <v>47</v>
      </c>
      <c r="B304" s="7">
        <v>38</v>
      </c>
      <c r="C304" s="7">
        <v>96</v>
      </c>
      <c r="D304">
        <f t="shared" ca="1" si="10"/>
        <v>94</v>
      </c>
      <c r="E304">
        <f t="shared" ca="1" si="9"/>
        <v>2</v>
      </c>
    </row>
    <row r="305" spans="1:5" x14ac:dyDescent="0.25">
      <c r="A305" s="7">
        <v>47</v>
      </c>
      <c r="B305" s="7">
        <v>40</v>
      </c>
      <c r="C305" s="7">
        <v>15</v>
      </c>
      <c r="D305">
        <f t="shared" ca="1" si="10"/>
        <v>14</v>
      </c>
      <c r="E305">
        <f t="shared" ca="1" si="9"/>
        <v>1</v>
      </c>
    </row>
    <row r="306" spans="1:5" x14ac:dyDescent="0.25">
      <c r="A306" s="7">
        <v>47</v>
      </c>
      <c r="B306" s="7">
        <v>42</v>
      </c>
      <c r="C306" s="7">
        <v>82</v>
      </c>
      <c r="D306">
        <f t="shared" ca="1" si="10"/>
        <v>82</v>
      </c>
      <c r="E306">
        <f t="shared" ca="1" si="9"/>
        <v>0</v>
      </c>
    </row>
    <row r="307" spans="1:5" x14ac:dyDescent="0.25">
      <c r="A307" s="7">
        <v>47</v>
      </c>
      <c r="B307" s="7">
        <v>44</v>
      </c>
      <c r="C307" s="7">
        <v>106</v>
      </c>
      <c r="D307">
        <f t="shared" ca="1" si="10"/>
        <v>72</v>
      </c>
      <c r="E307">
        <f t="shared" ca="1" si="9"/>
        <v>34</v>
      </c>
    </row>
    <row r="308" spans="1:5" x14ac:dyDescent="0.25">
      <c r="A308" s="7">
        <v>47</v>
      </c>
      <c r="B308" s="7">
        <v>46</v>
      </c>
      <c r="C308" s="7">
        <v>253</v>
      </c>
      <c r="D308">
        <f t="shared" ca="1" si="10"/>
        <v>253</v>
      </c>
      <c r="E308">
        <f t="shared" ca="1" si="9"/>
        <v>0</v>
      </c>
    </row>
    <row r="309" spans="1:5" x14ac:dyDescent="0.25">
      <c r="A309" s="7">
        <v>47</v>
      </c>
      <c r="B309" s="7">
        <v>48</v>
      </c>
      <c r="C309" s="7">
        <v>4</v>
      </c>
      <c r="D309">
        <f t="shared" ca="1" si="10"/>
        <v>4</v>
      </c>
      <c r="E309">
        <f t="shared" ca="1" si="9"/>
        <v>0</v>
      </c>
    </row>
    <row r="310" spans="1:5" x14ac:dyDescent="0.25">
      <c r="A310" s="7">
        <v>47</v>
      </c>
      <c r="B310" s="7">
        <v>50</v>
      </c>
      <c r="C310" s="7">
        <v>11</v>
      </c>
      <c r="D310">
        <f t="shared" ca="1" si="10"/>
        <v>11</v>
      </c>
      <c r="E310">
        <f t="shared" ca="1" si="9"/>
        <v>0</v>
      </c>
    </row>
    <row r="311" spans="1:5" x14ac:dyDescent="0.25">
      <c r="A311" s="7">
        <v>47</v>
      </c>
      <c r="B311" s="7">
        <v>52</v>
      </c>
      <c r="C311" s="7">
        <v>1</v>
      </c>
      <c r="D311">
        <f t="shared" ca="1" si="10"/>
        <v>1</v>
      </c>
      <c r="E311">
        <f t="shared" ca="1" si="9"/>
        <v>0</v>
      </c>
    </row>
    <row r="312" spans="1:5" x14ac:dyDescent="0.25">
      <c r="A312" s="7">
        <v>47</v>
      </c>
      <c r="B312" s="7">
        <v>54</v>
      </c>
      <c r="C312" s="7">
        <v>15</v>
      </c>
      <c r="D312">
        <f t="shared" ca="1" si="10"/>
        <v>10</v>
      </c>
      <c r="E312">
        <f t="shared" ca="1" si="9"/>
        <v>5</v>
      </c>
    </row>
    <row r="313" spans="1:5" x14ac:dyDescent="0.25">
      <c r="A313" s="7">
        <v>47</v>
      </c>
      <c r="B313" s="7">
        <v>58</v>
      </c>
      <c r="C313" s="7">
        <v>2</v>
      </c>
      <c r="D313">
        <f t="shared" ca="1" si="10"/>
        <v>2</v>
      </c>
      <c r="E313">
        <f t="shared" ca="1" si="9"/>
        <v>0</v>
      </c>
    </row>
    <row r="314" spans="1:5" x14ac:dyDescent="0.25">
      <c r="A314" s="7">
        <v>47</v>
      </c>
      <c r="B314" s="7">
        <v>62</v>
      </c>
      <c r="C314" s="7">
        <v>1382</v>
      </c>
      <c r="D314">
        <f t="shared" ca="1" si="10"/>
        <v>1382</v>
      </c>
      <c r="E314">
        <f t="shared" ca="1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2011</vt:lpstr>
      <vt:lpstr>1999-2002</vt:lpstr>
      <vt:lpstr>MLB Data</vt:lpstr>
      <vt:lpstr>2011WSN_BoxScores</vt:lpstr>
      <vt:lpstr>2011WSN</vt:lpstr>
      <vt:lpstr>Retro DB Query 2011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2013-06-30T01:01:09Z</dcterms:created>
  <dcterms:modified xsi:type="dcterms:W3CDTF">2016-08-26T01:45:43Z</dcterms:modified>
</cp:coreProperties>
</file>
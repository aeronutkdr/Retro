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Retro\RetroMaestro\UsingR\"/>
    </mc:Choice>
  </mc:AlternateContent>
  <bookViews>
    <workbookView xWindow="0" yWindow="0" windowWidth="19170" windowHeight="37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1" l="1"/>
  <c r="B45" i="1"/>
  <c r="B44" i="1"/>
  <c r="B43" i="1"/>
  <c r="B42" i="1"/>
  <c r="B41" i="1"/>
  <c r="B40" i="1"/>
  <c r="D32" i="1"/>
  <c r="D33" i="1" s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9" i="1"/>
  <c r="D19" i="1"/>
  <c r="D18" i="1"/>
  <c r="C19" i="1"/>
  <c r="C18" i="1"/>
  <c r="B19" i="1"/>
  <c r="B18" i="1"/>
  <c r="A19" i="1"/>
  <c r="A18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7" i="1"/>
  <c r="K17" i="1"/>
  <c r="J17" i="1"/>
  <c r="I17" i="1"/>
  <c r="H17" i="1"/>
  <c r="G17" i="1"/>
  <c r="F17" i="1"/>
  <c r="L16" i="1"/>
  <c r="K16" i="1"/>
  <c r="J16" i="1"/>
  <c r="I16" i="1"/>
  <c r="H16" i="1"/>
  <c r="G16" i="1"/>
  <c r="F16" i="1"/>
  <c r="L15" i="1"/>
  <c r="K15" i="1"/>
  <c r="J15" i="1"/>
  <c r="I15" i="1"/>
  <c r="H15" i="1"/>
  <c r="G15" i="1"/>
  <c r="F15" i="1"/>
  <c r="L14" i="1"/>
  <c r="K14" i="1"/>
  <c r="J14" i="1"/>
  <c r="I14" i="1"/>
  <c r="H14" i="1"/>
  <c r="G14" i="1"/>
  <c r="F14" i="1"/>
  <c r="L13" i="1"/>
  <c r="K13" i="1"/>
  <c r="J13" i="1"/>
  <c r="I13" i="1"/>
  <c r="H13" i="1"/>
  <c r="G13" i="1"/>
  <c r="F13" i="1"/>
  <c r="L12" i="1"/>
  <c r="K12" i="1"/>
  <c r="J12" i="1"/>
  <c r="I12" i="1"/>
  <c r="H12" i="1"/>
  <c r="G12" i="1"/>
  <c r="F12" i="1"/>
  <c r="L11" i="1"/>
  <c r="K11" i="1"/>
  <c r="J11" i="1"/>
  <c r="I11" i="1"/>
  <c r="H11" i="1"/>
  <c r="G11" i="1"/>
  <c r="F11" i="1"/>
  <c r="L10" i="1"/>
  <c r="K10" i="1"/>
  <c r="J10" i="1"/>
  <c r="I10" i="1"/>
  <c r="H10" i="1"/>
  <c r="G10" i="1"/>
  <c r="F10" i="1"/>
  <c r="L9" i="1"/>
  <c r="K9" i="1"/>
  <c r="J9" i="1"/>
  <c r="I9" i="1"/>
  <c r="H9" i="1"/>
  <c r="G9" i="1"/>
  <c r="F9" i="1"/>
  <c r="L8" i="1"/>
  <c r="K8" i="1"/>
  <c r="J8" i="1"/>
  <c r="I8" i="1"/>
  <c r="H8" i="1"/>
  <c r="G8" i="1"/>
  <c r="F8" i="1"/>
  <c r="L7" i="1"/>
  <c r="K7" i="1"/>
  <c r="J7" i="1"/>
  <c r="I7" i="1"/>
  <c r="H7" i="1"/>
  <c r="G7" i="1"/>
  <c r="F7" i="1"/>
  <c r="L6" i="1"/>
  <c r="K6" i="1"/>
  <c r="J6" i="1"/>
  <c r="I6" i="1"/>
  <c r="H6" i="1"/>
  <c r="G6" i="1"/>
  <c r="F6" i="1"/>
  <c r="L5" i="1"/>
  <c r="L19" i="1" s="1"/>
  <c r="K5" i="1"/>
  <c r="J5" i="1"/>
  <c r="I5" i="1"/>
  <c r="H5" i="1"/>
  <c r="H18" i="1" s="1"/>
  <c r="G5" i="1"/>
  <c r="F5" i="1"/>
  <c r="L4" i="1"/>
  <c r="K4" i="1"/>
  <c r="J4" i="1"/>
  <c r="I4" i="1"/>
  <c r="H4" i="1"/>
  <c r="G4" i="1"/>
  <c r="F4" i="1"/>
  <c r="L3" i="1"/>
  <c r="L18" i="1" s="1"/>
  <c r="K3" i="1"/>
  <c r="J3" i="1"/>
  <c r="J18" i="1" s="1"/>
  <c r="J20" i="1" s="1"/>
  <c r="J21" i="1" s="1"/>
  <c r="I3" i="1"/>
  <c r="H3" i="1"/>
  <c r="G3" i="1"/>
  <c r="F3" i="1"/>
  <c r="F19" i="1" s="1"/>
  <c r="L2" i="1"/>
  <c r="K2" i="1"/>
  <c r="J2" i="1"/>
  <c r="I2" i="1"/>
  <c r="I19" i="1" s="1"/>
  <c r="H2" i="1"/>
  <c r="G2" i="1"/>
  <c r="J19" i="1"/>
  <c r="G18" i="1"/>
  <c r="F2" i="1"/>
  <c r="E18" i="1"/>
  <c r="B33" i="1" l="1"/>
  <c r="D34" i="1"/>
  <c r="B32" i="1"/>
  <c r="P20" i="1"/>
  <c r="P21" i="1" s="1"/>
  <c r="B20" i="1"/>
  <c r="B21" i="1" s="1"/>
  <c r="O20" i="1"/>
  <c r="O21" i="1" s="1"/>
  <c r="A20" i="1"/>
  <c r="A21" i="1" s="1"/>
  <c r="C20" i="1"/>
  <c r="C21" i="1" s="1"/>
  <c r="L20" i="1"/>
  <c r="L21" i="1" s="1"/>
  <c r="M20" i="1"/>
  <c r="M21" i="1" s="1"/>
  <c r="D20" i="1"/>
  <c r="D21" i="1" s="1"/>
  <c r="N18" i="1"/>
  <c r="N20" i="1" s="1"/>
  <c r="N21" i="1" s="1"/>
  <c r="F18" i="1"/>
  <c r="F20" i="1" s="1"/>
  <c r="F21" i="1" s="1"/>
  <c r="G19" i="1"/>
  <c r="G20" i="1" s="1"/>
  <c r="G21" i="1" s="1"/>
  <c r="K18" i="1"/>
  <c r="H19" i="1"/>
  <c r="H20" i="1" s="1"/>
  <c r="H21" i="1" s="1"/>
  <c r="K19" i="1"/>
  <c r="I18" i="1"/>
  <c r="I20" i="1" s="1"/>
  <c r="I21" i="1" s="1"/>
  <c r="B34" i="1" l="1"/>
  <c r="D35" i="1"/>
  <c r="K20" i="1"/>
  <c r="K21" i="1" s="1"/>
  <c r="D36" i="1" l="1"/>
  <c r="B35" i="1"/>
  <c r="D37" i="1" l="1"/>
  <c r="B36" i="1"/>
  <c r="B37" i="1" l="1"/>
  <c r="D38" i="1"/>
  <c r="B38" i="1" s="1"/>
</calcChain>
</file>

<file path=xl/sharedStrings.xml><?xml version="1.0" encoding="utf-8"?>
<sst xmlns="http://schemas.openxmlformats.org/spreadsheetml/2006/main" count="18" uniqueCount="14">
  <si>
    <t>01</t>
  </si>
  <si>
    <t>02</t>
  </si>
  <si>
    <t>03</t>
  </si>
  <si>
    <t>12</t>
  </si>
  <si>
    <t>13</t>
  </si>
  <si>
    <t>23</t>
  </si>
  <si>
    <t>123</t>
  </si>
  <si>
    <t>012</t>
  </si>
  <si>
    <t>013</t>
  </si>
  <si>
    <t>0123</t>
  </si>
  <si>
    <t>023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</si>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</sst>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Sheet1!$C$32:$C$38</c:f>
              <c:numCache>
                <c:formatCode>General</c:formatCode>
                <c:ptCount val="7"/>
                <c:pt idx="0">
                  <c:v>2.4912499999996118E-4</c:v>
                </c:pt>
                <c:pt idx="1">
                  <c:v>3.794500000000034E-4</c:v>
                </c:pt>
                <c:pt idx="2">
                  <c:v>1.4045500000000599E-3</c:v>
                </c:pt>
                <c:pt idx="3">
                  <c:v>5.0655000000000006E-3</c:v>
                </c:pt>
                <c:pt idx="4">
                  <c:v>0.12078092499999998</c:v>
                </c:pt>
                <c:pt idx="5">
                  <c:v>0.20161692499999989</c:v>
                </c:pt>
                <c:pt idx="6">
                  <c:v>0.29968407499999999</c:v>
                </c:pt>
              </c:numCache>
            </c:numRef>
          </c:xVal>
          <c:yVal>
            <c:numRef>
              <c:f>Sheet1!$B$32:$B$38</c:f>
              <c:numCache>
                <c:formatCode>General</c:formatCode>
                <c:ptCount val="7"/>
                <c:pt idx="0">
                  <c:v>8.9642351075762544E-2</c:v>
                </c:pt>
                <c:pt idx="1">
                  <c:v>0.27188000539926077</c:v>
                </c:pt>
                <c:pt idx="2">
                  <c:v>0.46370775145717885</c:v>
                </c:pt>
                <c:pt idx="3">
                  <c:v>0.67448975019608159</c:v>
                </c:pt>
                <c:pt idx="4">
                  <c:v>0.92082297636837762</c:v>
                </c:pt>
                <c:pt idx="5">
                  <c:v>1.2418667918433193</c:v>
                </c:pt>
                <c:pt idx="6">
                  <c:v>1.8027430907391875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4728"/>
        <c:axId val="132708256"/>
      </c:scatterChart>
      <c:valAx>
        <c:axId val="132704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8256"/>
        <c:crosses val="autoZero"/>
        <c:crossBetween val="midCat"/>
      </c:valAx>
      <c:valAx>
        <c:axId val="1327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04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25</xdr:row>
      <xdr:rowOff>0</xdr:rowOff>
    </xdr:from>
    <xdr:to>
      <xdr:col>11</xdr:col>
      <xdr:colOff>790575</xdr:colOff>
      <xdr:row>39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abSelected="1" topLeftCell="A12" workbookViewId="0">
      <selection activeCell="B45" sqref="B45"/>
    </sheetView>
  </sheetViews>
  <sheetFormatPr defaultRowHeight="15" x14ac:dyDescent="0.25"/>
  <cols>
    <col min="1" max="1" width="11" bestFit="1" customWidth="1"/>
    <col min="2" max="2" width="12" bestFit="1" customWidth="1"/>
    <col min="3" max="3" width="11" bestFit="1" customWidth="1"/>
    <col min="4" max="9" width="12" bestFit="1" customWidth="1"/>
    <col min="10" max="10" width="11" bestFit="1" customWidth="1"/>
    <col min="11" max="13" width="12" bestFit="1" customWidth="1"/>
    <col min="14" max="14" width="12" customWidth="1"/>
    <col min="15" max="16" width="12" bestFit="1" customWidth="1"/>
  </cols>
  <sheetData>
    <row r="1" spans="1:16" x14ac:dyDescent="0.25">
      <c r="A1">
        <v>3</v>
      </c>
      <c r="B1">
        <v>2</v>
      </c>
      <c r="C1">
        <v>1</v>
      </c>
      <c r="D1">
        <v>0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7</v>
      </c>
      <c r="M1" s="1" t="s">
        <v>8</v>
      </c>
      <c r="N1" s="1" t="s">
        <v>10</v>
      </c>
      <c r="O1" s="1" t="s">
        <v>6</v>
      </c>
      <c r="P1" s="1" t="s">
        <v>9</v>
      </c>
    </row>
    <row r="2" spans="1:16" x14ac:dyDescent="0.25">
      <c r="A2">
        <v>-1</v>
      </c>
      <c r="B2">
        <v>-1</v>
      </c>
      <c r="C2">
        <v>-1</v>
      </c>
      <c r="D2">
        <v>-1</v>
      </c>
      <c r="E2">
        <v>0.27667190000000003</v>
      </c>
      <c r="F2">
        <f>PRODUCT(C2,D2)</f>
        <v>1</v>
      </c>
      <c r="G2">
        <f>PRODUCT(B2,D2)</f>
        <v>1</v>
      </c>
      <c r="H2">
        <f>PRODUCT(A2,D2)</f>
        <v>1</v>
      </c>
      <c r="I2">
        <f>PRODUCT(B2,C2)</f>
        <v>1</v>
      </c>
      <c r="J2">
        <f>PRODUCT(A2,C2)</f>
        <v>1</v>
      </c>
      <c r="K2">
        <f>PRODUCT(A2,B2)</f>
        <v>1</v>
      </c>
      <c r="L2">
        <f>PRODUCT(B2,C2,D2)</f>
        <v>-1</v>
      </c>
      <c r="M2">
        <f>PRODUCT(A2,C2,D2)</f>
        <v>-1</v>
      </c>
      <c r="N2">
        <f>PRODUCT(A2,B2,D2)</f>
        <v>-1</v>
      </c>
      <c r="O2">
        <f>PRODUCT(A2,B2,C2)</f>
        <v>-1</v>
      </c>
      <c r="P2">
        <f>PRODUCT(A2,B2,C2,D2)</f>
        <v>1</v>
      </c>
    </row>
    <row r="3" spans="1:16" x14ac:dyDescent="0.25">
      <c r="A3">
        <v>-1</v>
      </c>
      <c r="B3">
        <v>-1</v>
      </c>
      <c r="C3">
        <v>-1</v>
      </c>
      <c r="D3">
        <v>1</v>
      </c>
      <c r="E3">
        <v>0.27667190000000003</v>
      </c>
      <c r="F3">
        <f t="shared" ref="F3:F17" si="0">PRODUCT(C3,D3)</f>
        <v>-1</v>
      </c>
      <c r="G3">
        <f t="shared" ref="G3:G17" si="1">PRODUCT(B3,D3)</f>
        <v>-1</v>
      </c>
      <c r="H3">
        <f t="shared" ref="H3:H17" si="2">PRODUCT(A3,D3)</f>
        <v>-1</v>
      </c>
      <c r="I3">
        <f t="shared" ref="I3:I17" si="3">PRODUCT(B3,C3)</f>
        <v>1</v>
      </c>
      <c r="J3">
        <f t="shared" ref="J3:J17" si="4">PRODUCT(A3,C3)</f>
        <v>1</v>
      </c>
      <c r="K3">
        <f t="shared" ref="K3:K17" si="5">PRODUCT(A3,B3)</f>
        <v>1</v>
      </c>
      <c r="L3">
        <f t="shared" ref="L3:L17" si="6">PRODUCT(B3,C3,D3)</f>
        <v>1</v>
      </c>
      <c r="M3">
        <f t="shared" ref="M3:N17" si="7">PRODUCT(A3,C3,D3)</f>
        <v>1</v>
      </c>
      <c r="N3">
        <f t="shared" ref="N3:N17" si="8">PRODUCT(A3,B3,D3)</f>
        <v>1</v>
      </c>
      <c r="O3">
        <f t="shared" ref="O3:O17" si="9">PRODUCT(A3,B3,C3)</f>
        <v>-1</v>
      </c>
      <c r="P3">
        <f t="shared" ref="P3:P17" si="10">PRODUCT(A3,B3,C3,D3)</f>
        <v>-1</v>
      </c>
    </row>
    <row r="4" spans="1:16" x14ac:dyDescent="0.25">
      <c r="A4">
        <v>-1</v>
      </c>
      <c r="B4">
        <v>-1</v>
      </c>
      <c r="C4">
        <v>1</v>
      </c>
      <c r="D4">
        <v>-1</v>
      </c>
      <c r="E4">
        <v>0.52810409999999997</v>
      </c>
      <c r="F4">
        <f t="shared" si="0"/>
        <v>-1</v>
      </c>
      <c r="G4">
        <f t="shared" si="1"/>
        <v>1</v>
      </c>
      <c r="H4">
        <f t="shared" si="2"/>
        <v>1</v>
      </c>
      <c r="I4">
        <f t="shared" si="3"/>
        <v>-1</v>
      </c>
      <c r="J4">
        <f t="shared" si="4"/>
        <v>-1</v>
      </c>
      <c r="K4">
        <f t="shared" si="5"/>
        <v>1</v>
      </c>
      <c r="L4">
        <f t="shared" si="6"/>
        <v>1</v>
      </c>
      <c r="M4">
        <f t="shared" si="7"/>
        <v>1</v>
      </c>
      <c r="N4">
        <f t="shared" si="8"/>
        <v>-1</v>
      </c>
      <c r="O4">
        <f t="shared" si="9"/>
        <v>1</v>
      </c>
      <c r="P4">
        <f t="shared" si="10"/>
        <v>-1</v>
      </c>
    </row>
    <row r="5" spans="1:16" x14ac:dyDescent="0.25">
      <c r="A5">
        <v>-1</v>
      </c>
      <c r="B5">
        <v>-1</v>
      </c>
      <c r="C5">
        <v>1</v>
      </c>
      <c r="D5">
        <v>1</v>
      </c>
      <c r="E5">
        <v>0.52810409999999997</v>
      </c>
      <c r="F5">
        <f t="shared" si="0"/>
        <v>1</v>
      </c>
      <c r="G5">
        <f t="shared" si="1"/>
        <v>-1</v>
      </c>
      <c r="H5">
        <f t="shared" si="2"/>
        <v>-1</v>
      </c>
      <c r="I5">
        <f t="shared" si="3"/>
        <v>-1</v>
      </c>
      <c r="J5">
        <f t="shared" si="4"/>
        <v>-1</v>
      </c>
      <c r="K5">
        <f t="shared" si="5"/>
        <v>1</v>
      </c>
      <c r="L5">
        <f t="shared" si="6"/>
        <v>-1</v>
      </c>
      <c r="M5">
        <f t="shared" si="7"/>
        <v>-1</v>
      </c>
      <c r="N5">
        <f t="shared" si="8"/>
        <v>1</v>
      </c>
      <c r="O5">
        <f t="shared" si="9"/>
        <v>1</v>
      </c>
      <c r="P5">
        <f t="shared" si="10"/>
        <v>1</v>
      </c>
    </row>
    <row r="6" spans="1:16" x14ac:dyDescent="0.25">
      <c r="A6">
        <v>-1</v>
      </c>
      <c r="B6">
        <v>1</v>
      </c>
      <c r="C6">
        <v>-1</v>
      </c>
      <c r="D6">
        <v>-1</v>
      </c>
      <c r="E6">
        <v>0.69334410000000002</v>
      </c>
      <c r="F6">
        <f t="shared" si="0"/>
        <v>1</v>
      </c>
      <c r="G6">
        <f t="shared" si="1"/>
        <v>-1</v>
      </c>
      <c r="H6">
        <f t="shared" si="2"/>
        <v>1</v>
      </c>
      <c r="I6">
        <f t="shared" si="3"/>
        <v>-1</v>
      </c>
      <c r="J6">
        <f t="shared" si="4"/>
        <v>1</v>
      </c>
      <c r="K6">
        <f t="shared" si="5"/>
        <v>-1</v>
      </c>
      <c r="L6">
        <f t="shared" si="6"/>
        <v>1</v>
      </c>
      <c r="M6">
        <f t="shared" si="7"/>
        <v>-1</v>
      </c>
      <c r="N6">
        <f t="shared" si="8"/>
        <v>1</v>
      </c>
      <c r="O6">
        <f t="shared" si="9"/>
        <v>1</v>
      </c>
      <c r="P6">
        <f t="shared" si="10"/>
        <v>-1</v>
      </c>
    </row>
    <row r="7" spans="1:16" x14ac:dyDescent="0.25">
      <c r="A7">
        <v>-1</v>
      </c>
      <c r="B7">
        <v>1</v>
      </c>
      <c r="C7">
        <v>-1</v>
      </c>
      <c r="D7">
        <v>1</v>
      </c>
      <c r="E7">
        <v>0.69334410000000002</v>
      </c>
      <c r="F7">
        <f t="shared" si="0"/>
        <v>-1</v>
      </c>
      <c r="G7">
        <f t="shared" si="1"/>
        <v>1</v>
      </c>
      <c r="H7">
        <f t="shared" si="2"/>
        <v>-1</v>
      </c>
      <c r="I7">
        <f t="shared" si="3"/>
        <v>-1</v>
      </c>
      <c r="J7">
        <f t="shared" si="4"/>
        <v>1</v>
      </c>
      <c r="K7">
        <f t="shared" si="5"/>
        <v>-1</v>
      </c>
      <c r="L7">
        <f t="shared" si="6"/>
        <v>-1</v>
      </c>
      <c r="M7">
        <f t="shared" si="7"/>
        <v>1</v>
      </c>
      <c r="N7">
        <f t="shared" si="8"/>
        <v>-1</v>
      </c>
      <c r="O7">
        <f t="shared" si="9"/>
        <v>1</v>
      </c>
      <c r="P7">
        <f t="shared" si="10"/>
        <v>1</v>
      </c>
    </row>
    <row r="8" spans="1:16" x14ac:dyDescent="0.25">
      <c r="A8">
        <v>-1</v>
      </c>
      <c r="B8">
        <v>1</v>
      </c>
      <c r="C8">
        <v>1</v>
      </c>
      <c r="D8">
        <v>-1</v>
      </c>
      <c r="E8">
        <v>0.92351780000000006</v>
      </c>
      <c r="F8">
        <f t="shared" si="0"/>
        <v>-1</v>
      </c>
      <c r="G8">
        <f t="shared" si="1"/>
        <v>-1</v>
      </c>
      <c r="H8">
        <f t="shared" si="2"/>
        <v>1</v>
      </c>
      <c r="I8">
        <f t="shared" si="3"/>
        <v>1</v>
      </c>
      <c r="J8">
        <f t="shared" si="4"/>
        <v>-1</v>
      </c>
      <c r="K8">
        <f t="shared" si="5"/>
        <v>-1</v>
      </c>
      <c r="L8">
        <f t="shared" si="6"/>
        <v>-1</v>
      </c>
      <c r="M8">
        <f t="shared" si="7"/>
        <v>1</v>
      </c>
      <c r="N8">
        <f t="shared" si="8"/>
        <v>1</v>
      </c>
      <c r="O8">
        <f t="shared" si="9"/>
        <v>-1</v>
      </c>
      <c r="P8">
        <f t="shared" si="10"/>
        <v>1</v>
      </c>
    </row>
    <row r="9" spans="1:16" x14ac:dyDescent="0.25">
      <c r="A9">
        <v>-1</v>
      </c>
      <c r="B9">
        <v>1</v>
      </c>
      <c r="C9">
        <v>1</v>
      </c>
      <c r="D9">
        <v>1</v>
      </c>
      <c r="E9">
        <v>0.92351780000000006</v>
      </c>
      <c r="F9">
        <f t="shared" si="0"/>
        <v>1</v>
      </c>
      <c r="G9">
        <f t="shared" si="1"/>
        <v>1</v>
      </c>
      <c r="H9">
        <f t="shared" si="2"/>
        <v>-1</v>
      </c>
      <c r="I9">
        <f t="shared" si="3"/>
        <v>1</v>
      </c>
      <c r="J9">
        <f t="shared" si="4"/>
        <v>-1</v>
      </c>
      <c r="K9">
        <f t="shared" si="5"/>
        <v>-1</v>
      </c>
      <c r="L9">
        <f t="shared" si="6"/>
        <v>1</v>
      </c>
      <c r="M9">
        <f t="shared" si="7"/>
        <v>-1</v>
      </c>
      <c r="N9">
        <f t="shared" si="8"/>
        <v>-1</v>
      </c>
      <c r="O9">
        <f t="shared" si="9"/>
        <v>-1</v>
      </c>
      <c r="P9">
        <f t="shared" si="10"/>
        <v>-1</v>
      </c>
    </row>
    <row r="10" spans="1:16" x14ac:dyDescent="0.25">
      <c r="A10">
        <v>1</v>
      </c>
      <c r="B10">
        <v>-1</v>
      </c>
      <c r="C10">
        <v>-1</v>
      </c>
      <c r="D10">
        <v>-1</v>
      </c>
      <c r="E10">
        <v>0.87858849999999999</v>
      </c>
      <c r="F10">
        <f t="shared" si="0"/>
        <v>1</v>
      </c>
      <c r="G10">
        <f t="shared" si="1"/>
        <v>1</v>
      </c>
      <c r="H10">
        <f t="shared" si="2"/>
        <v>-1</v>
      </c>
      <c r="I10">
        <f t="shared" si="3"/>
        <v>1</v>
      </c>
      <c r="J10">
        <f t="shared" si="4"/>
        <v>-1</v>
      </c>
      <c r="K10">
        <f t="shared" si="5"/>
        <v>-1</v>
      </c>
      <c r="L10">
        <f t="shared" si="6"/>
        <v>-1</v>
      </c>
      <c r="M10">
        <f t="shared" si="7"/>
        <v>1</v>
      </c>
      <c r="N10">
        <f t="shared" si="8"/>
        <v>1</v>
      </c>
      <c r="O10">
        <f t="shared" si="9"/>
        <v>1</v>
      </c>
      <c r="P10">
        <f t="shared" si="10"/>
        <v>-1</v>
      </c>
    </row>
    <row r="11" spans="1:16" x14ac:dyDescent="0.25">
      <c r="A11">
        <v>1</v>
      </c>
      <c r="B11">
        <v>-1</v>
      </c>
      <c r="C11">
        <v>-1</v>
      </c>
      <c r="D11">
        <v>1</v>
      </c>
      <c r="E11">
        <v>0.87858849999999999</v>
      </c>
      <c r="F11">
        <f t="shared" si="0"/>
        <v>-1</v>
      </c>
      <c r="G11">
        <f t="shared" si="1"/>
        <v>-1</v>
      </c>
      <c r="H11">
        <f t="shared" si="2"/>
        <v>1</v>
      </c>
      <c r="I11">
        <f t="shared" si="3"/>
        <v>1</v>
      </c>
      <c r="J11">
        <f t="shared" si="4"/>
        <v>-1</v>
      </c>
      <c r="K11">
        <f t="shared" si="5"/>
        <v>-1</v>
      </c>
      <c r="L11">
        <f t="shared" si="6"/>
        <v>1</v>
      </c>
      <c r="M11">
        <f t="shared" si="7"/>
        <v>-1</v>
      </c>
      <c r="N11">
        <f t="shared" si="8"/>
        <v>-1</v>
      </c>
      <c r="O11">
        <f t="shared" si="9"/>
        <v>1</v>
      </c>
      <c r="P11">
        <f t="shared" si="10"/>
        <v>1</v>
      </c>
    </row>
    <row r="12" spans="1:16" x14ac:dyDescent="0.25">
      <c r="A12">
        <v>1</v>
      </c>
      <c r="B12">
        <v>-1</v>
      </c>
      <c r="C12">
        <v>1</v>
      </c>
      <c r="D12">
        <v>-1</v>
      </c>
      <c r="E12">
        <v>1.1305419999999999</v>
      </c>
      <c r="F12">
        <f t="shared" si="0"/>
        <v>-1</v>
      </c>
      <c r="G12">
        <f t="shared" si="1"/>
        <v>1</v>
      </c>
      <c r="H12">
        <f t="shared" si="2"/>
        <v>-1</v>
      </c>
      <c r="I12">
        <f t="shared" si="3"/>
        <v>-1</v>
      </c>
      <c r="J12">
        <f t="shared" si="4"/>
        <v>1</v>
      </c>
      <c r="K12">
        <f t="shared" si="5"/>
        <v>-1</v>
      </c>
      <c r="L12">
        <f t="shared" si="6"/>
        <v>1</v>
      </c>
      <c r="M12">
        <f t="shared" si="7"/>
        <v>-1</v>
      </c>
      <c r="N12">
        <f t="shared" si="8"/>
        <v>1</v>
      </c>
      <c r="O12">
        <f t="shared" si="9"/>
        <v>-1</v>
      </c>
      <c r="P12">
        <f t="shared" si="10"/>
        <v>1</v>
      </c>
    </row>
    <row r="13" spans="1:16" x14ac:dyDescent="0.25">
      <c r="A13">
        <v>1</v>
      </c>
      <c r="B13">
        <v>-1</v>
      </c>
      <c r="C13">
        <v>1</v>
      </c>
      <c r="D13">
        <v>1</v>
      </c>
      <c r="E13">
        <v>1.1305419999999999</v>
      </c>
      <c r="F13">
        <f t="shared" si="0"/>
        <v>1</v>
      </c>
      <c r="G13">
        <f t="shared" si="1"/>
        <v>-1</v>
      </c>
      <c r="H13">
        <f t="shared" si="2"/>
        <v>1</v>
      </c>
      <c r="I13">
        <f t="shared" si="3"/>
        <v>-1</v>
      </c>
      <c r="J13">
        <f t="shared" si="4"/>
        <v>1</v>
      </c>
      <c r="K13">
        <f t="shared" si="5"/>
        <v>-1</v>
      </c>
      <c r="L13">
        <f t="shared" si="6"/>
        <v>-1</v>
      </c>
      <c r="M13">
        <f t="shared" si="7"/>
        <v>1</v>
      </c>
      <c r="N13">
        <f t="shared" si="8"/>
        <v>-1</v>
      </c>
      <c r="O13">
        <f t="shared" si="9"/>
        <v>-1</v>
      </c>
      <c r="P13">
        <f t="shared" si="10"/>
        <v>-1</v>
      </c>
    </row>
    <row r="14" spans="1:16" x14ac:dyDescent="0.25">
      <c r="A14">
        <v>1</v>
      </c>
      <c r="B14">
        <v>1</v>
      </c>
      <c r="C14">
        <v>-1</v>
      </c>
      <c r="D14">
        <v>-1</v>
      </c>
      <c r="E14">
        <v>1.288646</v>
      </c>
      <c r="F14">
        <f t="shared" si="0"/>
        <v>1</v>
      </c>
      <c r="G14">
        <f t="shared" si="1"/>
        <v>-1</v>
      </c>
      <c r="H14">
        <f t="shared" si="2"/>
        <v>-1</v>
      </c>
      <c r="I14">
        <f t="shared" si="3"/>
        <v>-1</v>
      </c>
      <c r="J14">
        <f t="shared" si="4"/>
        <v>-1</v>
      </c>
      <c r="K14">
        <f t="shared" si="5"/>
        <v>1</v>
      </c>
      <c r="L14">
        <f t="shared" si="6"/>
        <v>1</v>
      </c>
      <c r="M14">
        <f t="shared" si="7"/>
        <v>1</v>
      </c>
      <c r="N14">
        <f t="shared" si="8"/>
        <v>-1</v>
      </c>
      <c r="O14">
        <f t="shared" si="9"/>
        <v>-1</v>
      </c>
      <c r="P14">
        <f t="shared" si="10"/>
        <v>1</v>
      </c>
    </row>
    <row r="15" spans="1:16" x14ac:dyDescent="0.25">
      <c r="A15">
        <v>1</v>
      </c>
      <c r="B15">
        <v>1</v>
      </c>
      <c r="C15">
        <v>-1</v>
      </c>
      <c r="D15">
        <v>1</v>
      </c>
      <c r="E15">
        <v>1.288646</v>
      </c>
      <c r="F15">
        <f t="shared" si="0"/>
        <v>-1</v>
      </c>
      <c r="G15">
        <f t="shared" si="1"/>
        <v>1</v>
      </c>
      <c r="H15">
        <f t="shared" si="2"/>
        <v>1</v>
      </c>
      <c r="I15">
        <f t="shared" si="3"/>
        <v>-1</v>
      </c>
      <c r="J15">
        <f t="shared" si="4"/>
        <v>-1</v>
      </c>
      <c r="K15">
        <f t="shared" si="5"/>
        <v>1</v>
      </c>
      <c r="L15">
        <f t="shared" si="6"/>
        <v>-1</v>
      </c>
      <c r="M15">
        <f t="shared" si="7"/>
        <v>-1</v>
      </c>
      <c r="N15">
        <f t="shared" si="8"/>
        <v>1</v>
      </c>
      <c r="O15">
        <f t="shared" si="9"/>
        <v>-1</v>
      </c>
      <c r="P15">
        <f t="shared" si="10"/>
        <v>-1</v>
      </c>
    </row>
    <row r="16" spans="1:16" x14ac:dyDescent="0.25">
      <c r="A16">
        <v>1</v>
      </c>
      <c r="B16">
        <v>1</v>
      </c>
      <c r="C16">
        <v>1</v>
      </c>
      <c r="D16">
        <v>-1</v>
      </c>
      <c r="E16">
        <v>1.521334</v>
      </c>
      <c r="F16">
        <f t="shared" si="0"/>
        <v>-1</v>
      </c>
      <c r="G16">
        <f t="shared" si="1"/>
        <v>-1</v>
      </c>
      <c r="H16">
        <f t="shared" si="2"/>
        <v>-1</v>
      </c>
      <c r="I16">
        <f t="shared" si="3"/>
        <v>1</v>
      </c>
      <c r="J16">
        <f t="shared" si="4"/>
        <v>1</v>
      </c>
      <c r="K16">
        <f t="shared" si="5"/>
        <v>1</v>
      </c>
      <c r="L16">
        <f t="shared" si="6"/>
        <v>-1</v>
      </c>
      <c r="M16">
        <f t="shared" si="7"/>
        <v>-1</v>
      </c>
      <c r="N16">
        <f t="shared" si="8"/>
        <v>-1</v>
      </c>
      <c r="O16">
        <f t="shared" si="9"/>
        <v>1</v>
      </c>
      <c r="P16">
        <f t="shared" si="10"/>
        <v>-1</v>
      </c>
    </row>
    <row r="17" spans="1:16" x14ac:dyDescent="0.25">
      <c r="A17">
        <v>1</v>
      </c>
      <c r="B17">
        <v>1</v>
      </c>
      <c r="C17">
        <v>1</v>
      </c>
      <c r="D17">
        <v>1</v>
      </c>
      <c r="E17">
        <v>1.521334</v>
      </c>
      <c r="F17">
        <f t="shared" si="0"/>
        <v>1</v>
      </c>
      <c r="G17">
        <f t="shared" si="1"/>
        <v>1</v>
      </c>
      <c r="H17">
        <f t="shared" si="2"/>
        <v>1</v>
      </c>
      <c r="I17">
        <f t="shared" si="3"/>
        <v>1</v>
      </c>
      <c r="J17">
        <f t="shared" si="4"/>
        <v>1</v>
      </c>
      <c r="K17">
        <f t="shared" si="5"/>
        <v>1</v>
      </c>
      <c r="L17">
        <f t="shared" si="6"/>
        <v>1</v>
      </c>
      <c r="M17">
        <f t="shared" si="7"/>
        <v>1</v>
      </c>
      <c r="N17">
        <f t="shared" si="8"/>
        <v>1</v>
      </c>
      <c r="O17">
        <f t="shared" si="9"/>
        <v>1</v>
      </c>
      <c r="P17">
        <f t="shared" si="10"/>
        <v>1</v>
      </c>
    </row>
    <row r="18" spans="1:16" x14ac:dyDescent="0.25">
      <c r="A18">
        <f>AVERAGEIF(A$2:A$17,1,$E$2:$E$17)</f>
        <v>1.204777625</v>
      </c>
      <c r="B18">
        <f>AVERAGEIF(B$2:B$17,1,$E$2:$E$17)</f>
        <v>1.1067104749999999</v>
      </c>
      <c r="C18">
        <f>AVERAGEIF(C$2:C$17,1,$E$2:$E$17)</f>
        <v>1.025874475</v>
      </c>
      <c r="D18">
        <f>AVERAGEIF(D$2:D$17,1,$E$2:$E$17)</f>
        <v>0.90509354999999991</v>
      </c>
      <c r="E18">
        <f>AVERAGE(E2:E17)</f>
        <v>0.90509354999999991</v>
      </c>
      <c r="F18">
        <f>AVERAGEIF(F$2:F$17,1,$E$2:$E$17)</f>
        <v>0.90509354999999991</v>
      </c>
      <c r="G18">
        <f t="shared" ref="G18:P18" si="11">AVERAGEIF(G$2:G$17,1,$E$2:$E$17)</f>
        <v>0.90509354999999991</v>
      </c>
      <c r="H18">
        <f t="shared" si="11"/>
        <v>0.90509354999999991</v>
      </c>
      <c r="I18">
        <f t="shared" si="11"/>
        <v>0.90002804999999997</v>
      </c>
      <c r="J18">
        <f t="shared" si="11"/>
        <v>0.90547299999999997</v>
      </c>
      <c r="K18">
        <f t="shared" si="11"/>
        <v>0.90368899999999996</v>
      </c>
      <c r="L18">
        <f t="shared" si="11"/>
        <v>0.90509354999999991</v>
      </c>
      <c r="M18">
        <f t="shared" si="11"/>
        <v>0.90509354999999991</v>
      </c>
      <c r="N18">
        <f t="shared" si="11"/>
        <v>0.90509354999999991</v>
      </c>
      <c r="O18">
        <f t="shared" si="11"/>
        <v>0.90534267499999999</v>
      </c>
      <c r="P18">
        <f t="shared" si="11"/>
        <v>0.90509354999999991</v>
      </c>
    </row>
    <row r="19" spans="1:16" x14ac:dyDescent="0.25">
      <c r="A19">
        <f>AVERAGEIF(A$2:A$17,-1,$E$2:$E$17)</f>
        <v>0.60540947499999997</v>
      </c>
      <c r="B19">
        <f>AVERAGEIF(B$2:B$17,-1,$E$2:$E$17)</f>
        <v>0.70347662500000008</v>
      </c>
      <c r="C19">
        <f>AVERAGEIF(C$2:C$17,-1,$E$2:$E$17)</f>
        <v>0.78431262499999999</v>
      </c>
      <c r="D19">
        <f>AVERAGEIF(D$2:D$17,-1,$E$2:$E$17)</f>
        <v>0.90509354999999991</v>
      </c>
      <c r="F19">
        <f>AVERAGEIF(F$2:F$17,-1,$E$2:$E$17)</f>
        <v>0.90509354999999991</v>
      </c>
      <c r="G19">
        <f t="shared" ref="G19:P19" si="12">AVERAGEIF(G$2:G$17,-1,$E$2:$E$17)</f>
        <v>0.90509354999999991</v>
      </c>
      <c r="H19">
        <f t="shared" si="12"/>
        <v>0.90509354999999991</v>
      </c>
      <c r="I19">
        <f t="shared" si="12"/>
        <v>0.91015904999999997</v>
      </c>
      <c r="J19">
        <f t="shared" si="12"/>
        <v>0.90471409999999997</v>
      </c>
      <c r="K19">
        <f t="shared" si="12"/>
        <v>0.90649810000000008</v>
      </c>
      <c r="L19">
        <f t="shared" si="12"/>
        <v>0.90509354999999991</v>
      </c>
      <c r="M19">
        <f t="shared" si="12"/>
        <v>0.90509354999999991</v>
      </c>
      <c r="N19">
        <f t="shared" si="12"/>
        <v>0.90509354999999991</v>
      </c>
      <c r="O19">
        <f t="shared" si="12"/>
        <v>0.90484442500000006</v>
      </c>
      <c r="P19">
        <f t="shared" si="12"/>
        <v>0.90509354999999991</v>
      </c>
    </row>
    <row r="20" spans="1:16" x14ac:dyDescent="0.25">
      <c r="A20">
        <f>A18-A19</f>
        <v>0.59936814999999999</v>
      </c>
      <c r="B20">
        <f>B18-B19</f>
        <v>0.40323384999999978</v>
      </c>
      <c r="C20">
        <f>C18-C19</f>
        <v>0.24156184999999997</v>
      </c>
      <c r="D20">
        <f>D18-D19</f>
        <v>0</v>
      </c>
      <c r="F20">
        <f t="shared" ref="F20:P20" si="13">F18-F19</f>
        <v>0</v>
      </c>
      <c r="G20">
        <f t="shared" si="13"/>
        <v>0</v>
      </c>
      <c r="H20">
        <f t="shared" si="13"/>
        <v>0</v>
      </c>
      <c r="I20">
        <f t="shared" si="13"/>
        <v>-1.0131000000000001E-2</v>
      </c>
      <c r="J20">
        <f t="shared" si="13"/>
        <v>7.5890000000000679E-4</v>
      </c>
      <c r="K20">
        <f t="shared" si="13"/>
        <v>-2.8091000000001198E-3</v>
      </c>
      <c r="L20">
        <f t="shared" si="13"/>
        <v>0</v>
      </c>
      <c r="M20">
        <f t="shared" si="13"/>
        <v>0</v>
      </c>
      <c r="N20">
        <f t="shared" si="13"/>
        <v>0</v>
      </c>
      <c r="O20">
        <f t="shared" si="13"/>
        <v>4.9824999999992237E-4</v>
      </c>
      <c r="P20">
        <f t="shared" si="13"/>
        <v>0</v>
      </c>
    </row>
    <row r="21" spans="1:16" x14ac:dyDescent="0.25">
      <c r="A21">
        <f>A20/2</f>
        <v>0.29968407499999999</v>
      </c>
      <c r="B21">
        <f t="shared" ref="B21:D21" si="14">B20/2</f>
        <v>0.20161692499999989</v>
      </c>
      <c r="C21">
        <f t="shared" si="14"/>
        <v>0.12078092499999998</v>
      </c>
      <c r="D21">
        <f t="shared" si="14"/>
        <v>0</v>
      </c>
      <c r="F21">
        <f t="shared" ref="F21" si="15">F20/2</f>
        <v>0</v>
      </c>
      <c r="G21">
        <f t="shared" ref="G21" si="16">G20/2</f>
        <v>0</v>
      </c>
      <c r="H21">
        <f t="shared" ref="H21" si="17">H20/2</f>
        <v>0</v>
      </c>
      <c r="I21">
        <f t="shared" ref="I21" si="18">I20/2</f>
        <v>-5.0655000000000006E-3</v>
      </c>
      <c r="J21">
        <f t="shared" ref="J21" si="19">J20/2</f>
        <v>3.794500000000034E-4</v>
      </c>
      <c r="K21">
        <f t="shared" ref="K21" si="20">K20/2</f>
        <v>-1.4045500000000599E-3</v>
      </c>
      <c r="L21">
        <f t="shared" ref="L21" si="21">L20/2</f>
        <v>0</v>
      </c>
      <c r="M21">
        <f t="shared" ref="M21:N21" si="22">M20/2</f>
        <v>0</v>
      </c>
      <c r="N21">
        <f t="shared" si="22"/>
        <v>0</v>
      </c>
      <c r="O21">
        <f t="shared" ref="O21" si="23">O20/2</f>
        <v>2.4912499999996118E-4</v>
      </c>
      <c r="P21">
        <f t="shared" ref="P21" si="24">P20/2</f>
        <v>0</v>
      </c>
    </row>
    <row r="32" spans="1:16" x14ac:dyDescent="0.25">
      <c r="A32" s="1" t="s">
        <v>6</v>
      </c>
      <c r="B32">
        <f>_xlfn.NORM.INV(D32,0,1)</f>
        <v>8.9642351075762544E-2</v>
      </c>
      <c r="C32">
        <v>2.4912499999996118E-4</v>
      </c>
      <c r="D32">
        <f>1/7/2/2+0.5</f>
        <v>0.5357142857142857</v>
      </c>
    </row>
    <row r="33" spans="1:4" x14ac:dyDescent="0.25">
      <c r="A33" s="1" t="s">
        <v>4</v>
      </c>
      <c r="B33">
        <f>_xlfn.NORM.INV(D33,0,1)</f>
        <v>0.27188000539926077</v>
      </c>
      <c r="C33">
        <v>3.794500000000034E-4</v>
      </c>
      <c r="D33">
        <f>D32+1/7/2</f>
        <v>0.6071428571428571</v>
      </c>
    </row>
    <row r="34" spans="1:4" x14ac:dyDescent="0.25">
      <c r="A34" s="1" t="s">
        <v>5</v>
      </c>
      <c r="B34">
        <f>_xlfn.NORM.INV(D34,0,1)</f>
        <v>0.46370775145717885</v>
      </c>
      <c r="C34">
        <v>1.4045500000000599E-3</v>
      </c>
      <c r="D34">
        <f>D33+1/7/2</f>
        <v>0.67857142857142849</v>
      </c>
    </row>
    <row r="35" spans="1:4" x14ac:dyDescent="0.25">
      <c r="A35" s="1" t="s">
        <v>3</v>
      </c>
      <c r="B35">
        <f>_xlfn.NORM.INV(D35,0,1)</f>
        <v>0.67448975019608159</v>
      </c>
      <c r="C35">
        <v>5.0655000000000006E-3</v>
      </c>
      <c r="D35">
        <f>D34+1/7/2</f>
        <v>0.74999999999999989</v>
      </c>
    </row>
    <row r="36" spans="1:4" x14ac:dyDescent="0.25">
      <c r="A36" s="1" t="s">
        <v>11</v>
      </c>
      <c r="B36">
        <f>_xlfn.NORM.INV(D36,0,1)</f>
        <v>0.92082297636837762</v>
      </c>
      <c r="C36">
        <v>0.12078092499999998</v>
      </c>
      <c r="D36">
        <f>D35+1/7/2</f>
        <v>0.82142857142857129</v>
      </c>
    </row>
    <row r="37" spans="1:4" x14ac:dyDescent="0.25">
      <c r="A37" s="1" t="s">
        <v>12</v>
      </c>
      <c r="B37">
        <f>_xlfn.NORM.INV(D37,0,1)</f>
        <v>1.2418667918433193</v>
      </c>
      <c r="C37">
        <v>0.20161692499999989</v>
      </c>
      <c r="D37">
        <f>D36+1/7/2</f>
        <v>0.89285714285714268</v>
      </c>
    </row>
    <row r="38" spans="1:4" x14ac:dyDescent="0.25">
      <c r="A38" s="1" t="s">
        <v>13</v>
      </c>
      <c r="B38">
        <f>_xlfn.NORM.INV(D38,0,1)</f>
        <v>1.8027430907391875</v>
      </c>
      <c r="C38">
        <v>0.29968407499999999</v>
      </c>
      <c r="D38">
        <f>D37+1/7/2</f>
        <v>0.96428571428571408</v>
      </c>
    </row>
    <row r="40" spans="1:4" x14ac:dyDescent="0.25">
      <c r="B40">
        <f>B32/$B$38</f>
        <v>4.9725527467702597E-2</v>
      </c>
    </row>
    <row r="41" spans="1:4" x14ac:dyDescent="0.25">
      <c r="B41">
        <f>B33/$B$38</f>
        <v>0.15081461512509833</v>
      </c>
    </row>
    <row r="42" spans="1:4" x14ac:dyDescent="0.25">
      <c r="B42">
        <f>B34/$B$38</f>
        <v>0.25722342459071224</v>
      </c>
    </row>
    <row r="43" spans="1:4" x14ac:dyDescent="0.25">
      <c r="B43">
        <f>B35/$B$38</f>
        <v>0.37414635155779036</v>
      </c>
    </row>
    <row r="44" spans="1:4" x14ac:dyDescent="0.25">
      <c r="B44">
        <f>B36/$B$38</f>
        <v>0.5107899073909683</v>
      </c>
    </row>
    <row r="45" spans="1:4" x14ac:dyDescent="0.25">
      <c r="B45">
        <f>B37/$B$38</f>
        <v>0.68887618997009192</v>
      </c>
    </row>
    <row r="46" spans="1:4" x14ac:dyDescent="0.25">
      <c r="B46">
        <f>B38/$B$38</f>
        <v>1</v>
      </c>
    </row>
  </sheetData>
  <sortState ref="A26:A41">
    <sortCondition ref="A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Yazaki North America,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Russo</dc:creator>
  <cp:keywords>CONFIDENTIAL</cp:keywords>
  <cp:lastModifiedBy>Kevin Russo</cp:lastModifiedBy>
  <dcterms:created xsi:type="dcterms:W3CDTF">2017-11-06T17:29:26Z</dcterms:created>
  <dcterms:modified xsi:type="dcterms:W3CDTF">2017-11-06T19:39:56Z</dcterms:modified>
</cp:coreProperties>
</file>